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kine" sheetId="1" state="visible" r:id="rId3"/>
    <sheet name="Ana_Malzeme" sheetId="2" state="visible" r:id="rId4"/>
    <sheet name="Fiyat" sheetId="3" state="visible" r:id="rId5"/>
    <sheet name="Kur" sheetId="4" state="visible" r:id="rId6"/>
    <sheet name="Giris_SacProfil" sheetId="5" state="visible" r:id="rId7"/>
    <sheet name="Giris_MotorRedüktör" sheetId="6" state="visible" r:id="rId8"/>
    <sheet name="Giris_Elektrik" sheetId="7" state="visible" r:id="rId9"/>
    <sheet name="Giris_Baglanti" sheetId="8" state="visible" r:id="rId10"/>
    <sheet name="Degisiklik_Gunlugu" sheetId="9" state="visible" r:id="rId11"/>
    <sheet name="Maliyet" sheetId="10" state="visible" r:id="rId12"/>
  </sheets>
  <definedNames>
    <definedName function="false" hidden="true" localSheetId="1" name="_xlnm._FilterDatabase" vbProcedure="false">Ana_Malzeme!$A$4:$H$204</definedName>
    <definedName function="false" hidden="true" localSheetId="2" name="_xlnm._FilterDatabase" vbProcedure="false">Fiyat!$A$4:$I$204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<sst xmlns="http://schemas.openxmlformats.org/spreadsheetml/2006/main" count="343" uniqueCount="145">
  <si>
    <t xml:space="preserve">DOSYA 1 — Üretim / Makine Malzeme Girişi</t>
  </si>
  <si>
    <t xml:space="preserve">Üretim ekibi yalnızca sarı hücreleri doldurur. Malzemeler türüne göre ayrı sekmelerde girilir; son sekme 'Maliyet'tir.</t>
  </si>
  <si>
    <t xml:space="preserve">Makine Kodu</t>
  </si>
  <si>
    <t xml:space="preserve">PK-200</t>
  </si>
  <si>
    <t xml:space="preserve">Makine Adı</t>
  </si>
  <si>
    <t xml:space="preserve">Dikey Paketleme Makinesi</t>
  </si>
  <si>
    <t xml:space="preserve">Müşteri / Sipariş No</t>
  </si>
  <si>
    <t xml:space="preserve">SP-2026-0147</t>
  </si>
  <si>
    <t xml:space="preserve">Hazırlayan</t>
  </si>
  <si>
    <t xml:space="preserve">Üretim — Hat 2</t>
  </si>
  <si>
    <t xml:space="preserve">Tarih</t>
  </si>
  <si>
    <t xml:space="preserve">Kâr Marjı (%)</t>
  </si>
  <si>
    <t xml:space="preserve">KDV (%)</t>
  </si>
  <si>
    <t xml:space="preserve">Durum</t>
  </si>
  <si>
    <t xml:space="preserve">Nasıl kullanılır</t>
  </si>
  <si>
    <t xml:space="preserve">1) Sarı hücrelere makine bilgisini girin.</t>
  </si>
  <si>
    <t xml:space="preserve">2) Giriş sekmelerinde malzeme KODUNU listeden seçin, miktarı yazın; tanım ve birim kendiliğinden gelir.</t>
  </si>
  <si>
    <t xml:space="preserve">3) Yeni malzeme gerekirse Ana_Malzeme'ye eklenir (yetkili kullanıcı), sonra buradan seçilir.</t>
  </si>
  <si>
    <t xml:space="preserve">4) 'Maliyet' sekmesi güncel fiyatlarla her an hesaplanır; teslimde eklenecek 'Maliyet Oluştur' düğmesi o anki tutarları arşiv sekmesine kilitler (örnekte yoktur).</t>
  </si>
  <si>
    <t xml:space="preserve">DOSYA 2 — Ortak Ana Malzeme Kataloğu</t>
  </si>
  <si>
    <t xml:space="preserve">Tüm kullanıcılar ortak kullanır. Yeni malzeme en alta eklenir; kod benzersiz olmalıdır.</t>
  </si>
  <si>
    <t xml:space="preserve">Malzeme Kodu</t>
  </si>
  <si>
    <t xml:space="preserve">Tanım</t>
  </si>
  <si>
    <t xml:space="preserve">Tür</t>
  </si>
  <si>
    <t xml:space="preserve">Birim</t>
  </si>
  <si>
    <t xml:space="preserve">Ekleyen</t>
  </si>
  <si>
    <t xml:space="preserve">Eklenme Tarihi</t>
  </si>
  <si>
    <t xml:space="preserve">Son Güncelleyen</t>
  </si>
  <si>
    <t xml:space="preserve">Son Güncelleme</t>
  </si>
  <si>
    <t xml:space="preserve">SAC-0301</t>
  </si>
  <si>
    <t xml:space="preserve">DKP Sac 3 mm (1250x2500)</t>
  </si>
  <si>
    <t xml:space="preserve">Sac &amp; Profil</t>
  </si>
  <si>
    <t xml:space="preserve">adet</t>
  </si>
  <si>
    <t xml:space="preserve">İlk yükleme</t>
  </si>
  <si>
    <t xml:space="preserve">SAC-0201</t>
  </si>
  <si>
    <t xml:space="preserve">DKP Sac 2 mm (1250x2500)</t>
  </si>
  <si>
    <t xml:space="preserve">PRF-4040</t>
  </si>
  <si>
    <t xml:space="preserve">Kutu Profil 40x40x2 mm</t>
  </si>
  <si>
    <t xml:space="preserve">mt</t>
  </si>
  <si>
    <t xml:space="preserve">PRF-3030</t>
  </si>
  <si>
    <t xml:space="preserve">Kutu Profil 30x30x2 mm</t>
  </si>
  <si>
    <t xml:space="preserve">PRF-ALU45</t>
  </si>
  <si>
    <t xml:space="preserve">Alüminyum Sigma Profil 45x45</t>
  </si>
  <si>
    <t xml:space="preserve">MOT-075</t>
  </si>
  <si>
    <t xml:space="preserve">Asenkron Motor 0,75 kW 1400 d/d</t>
  </si>
  <si>
    <t xml:space="preserve">Motor &amp; Redüktör</t>
  </si>
  <si>
    <t xml:space="preserve">MOT-150</t>
  </si>
  <si>
    <t xml:space="preserve">Asenkron Motor 1,5 kW 1400 d/d</t>
  </si>
  <si>
    <t xml:space="preserve">RED-W63</t>
  </si>
  <si>
    <t xml:space="preserve">Sonsuz Vida Redüktör W63 1:20</t>
  </si>
  <si>
    <t xml:space="preserve">SRV-ST40</t>
  </si>
  <si>
    <t xml:space="preserve">Servo Motor 400 W + Sürücü</t>
  </si>
  <si>
    <t xml:space="preserve">takım</t>
  </si>
  <si>
    <t xml:space="preserve">ELK-PLC1</t>
  </si>
  <si>
    <t xml:space="preserve">PLC CPU 14 G/Ç Röle Çıkışlı</t>
  </si>
  <si>
    <t xml:space="preserve">Elektrik</t>
  </si>
  <si>
    <t xml:space="preserve">ELK-HMI7</t>
  </si>
  <si>
    <t xml:space="preserve">HMI Dokunmatik Panel 7"</t>
  </si>
  <si>
    <t xml:space="preserve">ELK-KBL3</t>
  </si>
  <si>
    <t xml:space="preserve">Kablo 3x1,5 mm² Esnek</t>
  </si>
  <si>
    <t xml:space="preserve">ELK-SNS</t>
  </si>
  <si>
    <t xml:space="preserve">Endüktif Sensör M12 PNP</t>
  </si>
  <si>
    <t xml:space="preserve">Mehmet K.</t>
  </si>
  <si>
    <t xml:space="preserve">ELK-RLE</t>
  </si>
  <si>
    <t xml:space="preserve">Röle 24 V DC 8 pin + Soket</t>
  </si>
  <si>
    <t xml:space="preserve">BGL-M8x25</t>
  </si>
  <si>
    <t xml:space="preserve">Civata M8x25 Paslanmaz</t>
  </si>
  <si>
    <t xml:space="preserve">Bağlantı Elemanı</t>
  </si>
  <si>
    <t xml:space="preserve">BGL-M10x40</t>
  </si>
  <si>
    <t xml:space="preserve">Civata M10x40 8.8</t>
  </si>
  <si>
    <t xml:space="preserve">BGL-RND8</t>
  </si>
  <si>
    <t xml:space="preserve">Rondela M8 Paslanmaz</t>
  </si>
  <si>
    <t xml:space="preserve">BGL-SOM8</t>
  </si>
  <si>
    <t xml:space="preserve">Somun M8 Paslanmaz</t>
  </si>
  <si>
    <t xml:space="preserve">BGL-RLM</t>
  </si>
  <si>
    <t xml:space="preserve">Rulman 6204 2RS</t>
  </si>
  <si>
    <t xml:space="preserve">Ayşe T.</t>
  </si>
  <si>
    <t xml:space="preserve">DOSYA 3 — Fiyat ve Maliyet Dosyası</t>
  </si>
  <si>
    <t xml:space="preserve">Fiyatı yönetici girer (canlı kurulumda sunucu izniyle yalnız yönetici yazabilir). Tanım ve birim ana katalogdan gelir; fiyatı eksik satır kırmızı işaretlenir.</t>
  </si>
  <si>
    <t xml:space="preserve">Tanım (otomatik)</t>
  </si>
  <si>
    <t xml:space="preserve">Birim (otomatik)</t>
  </si>
  <si>
    <t xml:space="preserve">Birim Fiyat</t>
  </si>
  <si>
    <t xml:space="preserve">Para Birimi</t>
  </si>
  <si>
    <t xml:space="preserve">Birim Fiyat (TL)</t>
  </si>
  <si>
    <t xml:space="preserve">Fiyat Tarihi</t>
  </si>
  <si>
    <t xml:space="preserve">Güncelleyen</t>
  </si>
  <si>
    <t xml:space="preserve">TRY</t>
  </si>
  <si>
    <t xml:space="preserve">Yönetici</t>
  </si>
  <si>
    <t xml:space="preserve">EUR</t>
  </si>
  <si>
    <t xml:space="preserve">Döviz Kurları</t>
  </si>
  <si>
    <t xml:space="preserve">Yönetici günceller. Fiyat dosyasındaki USD/EUR fiyatlar bu kurla TL'ye çevrilir.</t>
  </si>
  <si>
    <t xml:space="preserve">Kur (TL)</t>
  </si>
  <si>
    <t xml:space="preserve">USD</t>
  </si>
  <si>
    <t xml:space="preserve">Malzeme Girişi — Sac &amp; Profil</t>
  </si>
  <si>
    <t xml:space="preserve">Kodu listeden seçin, miktarı girin. Gri sütunlar otomatik doludur.</t>
  </si>
  <si>
    <t xml:space="preserve">Sıra</t>
  </si>
  <si>
    <t xml:space="preserve">Miktar</t>
  </si>
  <si>
    <t xml:space="preserve">Tutar (TL)</t>
  </si>
  <si>
    <t xml:space="preserve">Uyarı</t>
  </si>
  <si>
    <t xml:space="preserve">Sekme toplamı</t>
  </si>
  <si>
    <t xml:space="preserve">Malzeme Girişi — Motor &amp; Redüktör</t>
  </si>
  <si>
    <t xml:space="preserve">Malzeme Girişi — Elektrik</t>
  </si>
  <si>
    <t xml:space="preserve">Malzeme Girişi — Bağlantı Elemanı</t>
  </si>
  <si>
    <t xml:space="preserve">Değişiklik Günlüğü (kim, ne zaman, ne yaptı)</t>
  </si>
  <si>
    <t xml:space="preserve">Örnek kayıtlardır. Canlı kurulumda ortak sunucunun sürüm geçmişi ve otomatik kayıt bunu doldurur.</t>
  </si>
  <si>
    <t xml:space="preserve">Tarih / Saat</t>
  </si>
  <si>
    <t xml:space="preserve">Kullanıcı</t>
  </si>
  <si>
    <t xml:space="preserve">Dosya</t>
  </si>
  <si>
    <t xml:space="preserve">İşlem</t>
  </si>
  <si>
    <t xml:space="preserve">Eski Değer</t>
  </si>
  <si>
    <t xml:space="preserve">Yeni Değer</t>
  </si>
  <si>
    <t xml:space="preserve">14.09.2026 09:00</t>
  </si>
  <si>
    <t xml:space="preserve">Ana_Malzeme</t>
  </si>
  <si>
    <t xml:space="preserve">(18 kod)</t>
  </si>
  <si>
    <t xml:space="preserve">-</t>
  </si>
  <si>
    <t xml:space="preserve">Katalog aktarıldı</t>
  </si>
  <si>
    <t xml:space="preserve">30.09.2026 09:12</t>
  </si>
  <si>
    <t xml:space="preserve">Yeni malzeme</t>
  </si>
  <si>
    <t xml:space="preserve">30.09.2026 10:40</t>
  </si>
  <si>
    <t xml:space="preserve">Fiyat</t>
  </si>
  <si>
    <t xml:space="preserve">Fiyat güncelleme</t>
  </si>
  <si>
    <t xml:space="preserve">92,00 TRY</t>
  </si>
  <si>
    <t xml:space="preserve">96,00 TRY</t>
  </si>
  <si>
    <t xml:space="preserve">01.10.2026 08:55</t>
  </si>
  <si>
    <t xml:space="preserve">01.10.2026 09:30</t>
  </si>
  <si>
    <t xml:space="preserve">Makine PK-200</t>
  </si>
  <si>
    <t xml:space="preserve">Malzeme girişi</t>
  </si>
  <si>
    <t xml:space="preserve">8 adet</t>
  </si>
  <si>
    <t xml:space="preserve">Maliyet Özeti</t>
  </si>
  <si>
    <t xml:space="preserve">Fiyat dosyasındaki güncel fiyatlarla hesaplanır. Katalog ya da fiyat değişince bu sayfa kendiliğinden yenilenir.</t>
  </si>
  <si>
    <t xml:space="preserve">Makine</t>
  </si>
  <si>
    <t xml:space="preserve">Sipariş</t>
  </si>
  <si>
    <t xml:space="preserve">Malzeme Türü</t>
  </si>
  <si>
    <t xml:space="preserve">Kalem Sayısı</t>
  </si>
  <si>
    <t xml:space="preserve">Fiyatsız Kalem</t>
  </si>
  <si>
    <t xml:space="preserve">Malzeme Toplamı</t>
  </si>
  <si>
    <t xml:space="preserve">Kâr Marjı</t>
  </si>
  <si>
    <t xml:space="preserve">Satış Fiyatı (KDV hariç)</t>
  </si>
  <si>
    <t xml:space="preserve">KDV</t>
  </si>
  <si>
    <t xml:space="preserve">Genel Toplam (KDV dahil)</t>
  </si>
  <si>
    <t xml:space="preserve">Kontroller</t>
  </si>
  <si>
    <t xml:space="preserve">Toplam kalem</t>
  </si>
  <si>
    <t xml:space="preserve">Katalogda olmayan kod</t>
  </si>
  <si>
    <t xml:space="preserve">Fiyatı girilmemiş kalem</t>
  </si>
  <si>
    <t xml:space="preserve">Sonuç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</si>
</sst>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"/>
    <numFmt numFmtId="167" formatCode="0.00"/>
    <numFmt numFmtId="168" formatCode="#,##0.00&quot; TL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color rgb="FF1F2A37"/>
      <name val="Cambria"/>
      <family val="0"/>
      <charset val="1"/>
    </font>
    <font>
      <b val="true"/>
      <sz val="11"/>
      <color rgb="FF0F766E"/>
      <name val="Cambria"/>
      <family val="0"/>
      <charset val="1"/>
    </font>
    <font>
      <b val="true"/>
      <sz val="12"/>
      <color rgb="FF1F2A37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4F6"/>
        <bgColor rgb="FFE6F2F0"/>
      </patternFill>
    </fill>
    <fill>
      <patternFill patternType="solid">
        <fgColor rgb="FFFFF8E1"/>
        <bgColor rgb="FFF3F4F6"/>
      </patternFill>
    </fill>
    <fill>
      <patternFill patternType="solid">
        <fgColor rgb="FF1F2A37"/>
        <bgColor rgb="FF333300"/>
      </patternFill>
    </fill>
    <fill>
      <patternFill patternType="solid">
        <fgColor rgb="FFE6F2F0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3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A37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8B4B4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8B4B4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ont>
        <b val="1"/>
        <color rgb="FF9B1C1C"/>
      </font>
      <fill>
        <patternFill>
          <bgColor rgb="FFF8B4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B45309"/>
      <rgbColor rgb="FFFFF8E1"/>
      <rgbColor rgb="FFE6F2F0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8B4B4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B1C1C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5" t="n">
        <v>46296</v>
      </c>
    </row>
    <row r="9" customFormat="false" ht="15" hidden="false" customHeight="false" outlineLevel="0" collapsed="false">
      <c r="A9" s="3" t="s">
        <v>11</v>
      </c>
      <c r="B9" s="4" t="n">
        <v>22</v>
      </c>
    </row>
    <row r="10" customFormat="false" ht="15" hidden="false" customHeight="false" outlineLevel="0" collapsed="false">
      <c r="A10" s="3" t="s">
        <v>12</v>
      </c>
      <c r="B10" s="4" t="n">
        <v>20</v>
      </c>
    </row>
    <row r="13" customFormat="false" ht="15" hidden="false" customHeight="false" outlineLevel="0" collapsed="false">
      <c r="A13" s="6" t="s">
        <v>13</v>
      </c>
      <c r="B13" s="7" t="str">
        <f aca="false">IF(Maliyet!C22&gt;0,"UYARI: "&amp;Maliyet!C22&amp;" malzemenin fiyatı girilmemiş — toplam eksik","Tüm malzemelerin fiyatı güncel")</f>
        <v>UYARI: 1 malzemenin fiyatı girilmemiş — toplam eksik</v>
      </c>
    </row>
    <row r="15" customFormat="false" ht="15" hidden="false" customHeight="false" outlineLevel="0" collapsed="false">
      <c r="A15" s="8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</sheetData>
  <sheetProtection sheet="tru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8" min="7" style="0" width="16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30" hidden="false" customHeight="true" outlineLevel="0" collapsed="false">
      <c r="A4" s="9" t="s">
        <v>21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</row>
    <row r="5" customFormat="false" ht="15" hidden="false" customHeight="false" outlineLevel="0" collapsed="false">
      <c r="A5" s="10" t="s">
        <v>29</v>
      </c>
      <c r="B5" s="10" t="s">
        <v>30</v>
      </c>
      <c r="C5" s="10" t="s">
        <v>31</v>
      </c>
      <c r="D5" s="10" t="s">
        <v>32</v>
      </c>
      <c r="E5" s="11" t="s">
        <v>33</v>
      </c>
      <c r="F5" s="12" t="n">
        <v>46279</v>
      </c>
      <c r="G5" s="11" t="s">
        <v>33</v>
      </c>
      <c r="H5" s="12" t="n">
        <v>46279</v>
      </c>
    </row>
    <row r="6" customFormat="false" ht="15" hidden="false" customHeight="false" outlineLevel="0" collapsed="false">
      <c r="A6" s="10" t="s">
        <v>34</v>
      </c>
      <c r="B6" s="10" t="s">
        <v>35</v>
      </c>
      <c r="C6" s="10" t="s">
        <v>31</v>
      </c>
      <c r="D6" s="10" t="s">
        <v>32</v>
      </c>
      <c r="E6" s="11" t="s">
        <v>33</v>
      </c>
      <c r="F6" s="12" t="n">
        <v>46279</v>
      </c>
      <c r="G6" s="11" t="s">
        <v>33</v>
      </c>
      <c r="H6" s="12" t="n">
        <v>46279</v>
      </c>
    </row>
    <row r="7" customFormat="false" ht="15" hidden="false" customHeight="false" outlineLevel="0" collapsed="false">
      <c r="A7" s="10" t="s">
        <v>36</v>
      </c>
      <c r="B7" s="10" t="s">
        <v>37</v>
      </c>
      <c r="C7" s="10" t="s">
        <v>31</v>
      </c>
      <c r="D7" s="10" t="s">
        <v>38</v>
      </c>
      <c r="E7" s="11" t="s">
        <v>33</v>
      </c>
      <c r="F7" s="12" t="n">
        <v>46279</v>
      </c>
      <c r="G7" s="11" t="s">
        <v>33</v>
      </c>
      <c r="H7" s="12" t="n">
        <v>46279</v>
      </c>
    </row>
    <row r="8" customFormat="false" ht="15" hidden="false" customHeight="false" outlineLevel="0" collapsed="false">
      <c r="A8" s="10" t="s">
        <v>39</v>
      </c>
      <c r="B8" s="10" t="s">
        <v>40</v>
      </c>
      <c r="C8" s="10" t="s">
        <v>31</v>
      </c>
      <c r="D8" s="10" t="s">
        <v>38</v>
      </c>
      <c r="E8" s="11" t="s">
        <v>33</v>
      </c>
      <c r="F8" s="12" t="n">
        <v>46279</v>
      </c>
      <c r="G8" s="11" t="s">
        <v>33</v>
      </c>
      <c r="H8" s="12" t="n">
        <v>46279</v>
      </c>
    </row>
    <row r="9" customFormat="false" ht="15" hidden="false" customHeight="false" outlineLevel="0" collapsed="false">
      <c r="A9" s="10" t="s">
        <v>41</v>
      </c>
      <c r="B9" s="10" t="s">
        <v>42</v>
      </c>
      <c r="C9" s="10" t="s">
        <v>31</v>
      </c>
      <c r="D9" s="10" t="s">
        <v>38</v>
      </c>
      <c r="E9" s="11" t="s">
        <v>33</v>
      </c>
      <c r="F9" s="12" t="n">
        <v>46279</v>
      </c>
      <c r="G9" s="11" t="s">
        <v>33</v>
      </c>
      <c r="H9" s="12" t="n">
        <v>46279</v>
      </c>
    </row>
    <row r="10" customFormat="false" ht="15" hidden="false" customHeight="false" outlineLevel="0" collapsed="false">
      <c r="A10" s="10" t="s">
        <v>43</v>
      </c>
      <c r="B10" s="10" t="s">
        <v>44</v>
      </c>
      <c r="C10" s="10" t="s">
        <v>45</v>
      </c>
      <c r="D10" s="10" t="s">
        <v>32</v>
      </c>
      <c r="E10" s="11" t="s">
        <v>33</v>
      </c>
      <c r="F10" s="12" t="n">
        <v>46279</v>
      </c>
      <c r="G10" s="11" t="s">
        <v>33</v>
      </c>
      <c r="H10" s="12" t="n">
        <v>46279</v>
      </c>
    </row>
    <row r="11" customFormat="false" ht="15" hidden="false" customHeight="false" outlineLevel="0" collapsed="false">
      <c r="A11" s="10" t="s">
        <v>46</v>
      </c>
      <c r="B11" s="10" t="s">
        <v>47</v>
      </c>
      <c r="C11" s="10" t="s">
        <v>45</v>
      </c>
      <c r="D11" s="10" t="s">
        <v>32</v>
      </c>
      <c r="E11" s="11" t="s">
        <v>33</v>
      </c>
      <c r="F11" s="12" t="n">
        <v>46279</v>
      </c>
      <c r="G11" s="11" t="s">
        <v>33</v>
      </c>
      <c r="H11" s="12" t="n">
        <v>46279</v>
      </c>
    </row>
    <row r="12" customFormat="false" ht="15" hidden="false" customHeight="false" outlineLevel="0" collapsed="false">
      <c r="A12" s="10" t="s">
        <v>48</v>
      </c>
      <c r="B12" s="10" t="s">
        <v>49</v>
      </c>
      <c r="C12" s="10" t="s">
        <v>45</v>
      </c>
      <c r="D12" s="10" t="s">
        <v>32</v>
      </c>
      <c r="E12" s="11" t="s">
        <v>33</v>
      </c>
      <c r="F12" s="12" t="n">
        <v>46279</v>
      </c>
      <c r="G12" s="11" t="s">
        <v>33</v>
      </c>
      <c r="H12" s="12" t="n">
        <v>46279</v>
      </c>
    </row>
    <row r="13" customFormat="false" ht="15" hidden="false" customHeight="false" outlineLevel="0" collapsed="false">
      <c r="A13" s="10" t="s">
        <v>50</v>
      </c>
      <c r="B13" s="10" t="s">
        <v>51</v>
      </c>
      <c r="C13" s="10" t="s">
        <v>45</v>
      </c>
      <c r="D13" s="10" t="s">
        <v>52</v>
      </c>
      <c r="E13" s="11" t="s">
        <v>33</v>
      </c>
      <c r="F13" s="12" t="n">
        <v>46279</v>
      </c>
      <c r="G13" s="11" t="s">
        <v>33</v>
      </c>
      <c r="H13" s="12" t="n">
        <v>46279</v>
      </c>
    </row>
    <row r="14" customFormat="false" ht="15" hidden="false" customHeight="false" outlineLevel="0" collapsed="false">
      <c r="A14" s="10" t="s">
        <v>53</v>
      </c>
      <c r="B14" s="10" t="s">
        <v>54</v>
      </c>
      <c r="C14" s="10" t="s">
        <v>55</v>
      </c>
      <c r="D14" s="10" t="s">
        <v>32</v>
      </c>
      <c r="E14" s="11" t="s">
        <v>33</v>
      </c>
      <c r="F14" s="12" t="n">
        <v>46279</v>
      </c>
      <c r="G14" s="11" t="s">
        <v>33</v>
      </c>
      <c r="H14" s="12" t="n">
        <v>46279</v>
      </c>
    </row>
    <row r="15" customFormat="false" ht="15" hidden="false" customHeight="false" outlineLevel="0" collapsed="false">
      <c r="A15" s="10" t="s">
        <v>56</v>
      </c>
      <c r="B15" s="10" t="s">
        <v>57</v>
      </c>
      <c r="C15" s="10" t="s">
        <v>55</v>
      </c>
      <c r="D15" s="10" t="s">
        <v>32</v>
      </c>
      <c r="E15" s="11" t="s">
        <v>33</v>
      </c>
      <c r="F15" s="12" t="n">
        <v>46279</v>
      </c>
      <c r="G15" s="11" t="s">
        <v>33</v>
      </c>
      <c r="H15" s="12" t="n">
        <v>46279</v>
      </c>
    </row>
    <row r="16" customFormat="false" ht="15" hidden="false" customHeight="false" outlineLevel="0" collapsed="false">
      <c r="A16" s="10" t="s">
        <v>58</v>
      </c>
      <c r="B16" s="10" t="s">
        <v>59</v>
      </c>
      <c r="C16" s="10" t="s">
        <v>55</v>
      </c>
      <c r="D16" s="10" t="s">
        <v>38</v>
      </c>
      <c r="E16" s="11" t="s">
        <v>33</v>
      </c>
      <c r="F16" s="12" t="n">
        <v>46279</v>
      </c>
      <c r="G16" s="11" t="s">
        <v>33</v>
      </c>
      <c r="H16" s="12" t="n">
        <v>46279</v>
      </c>
    </row>
    <row r="17" customFormat="false" ht="15" hidden="false" customHeight="false" outlineLevel="0" collapsed="false">
      <c r="A17" s="10" t="s">
        <v>60</v>
      </c>
      <c r="B17" s="10" t="s">
        <v>61</v>
      </c>
      <c r="C17" s="10" t="s">
        <v>55</v>
      </c>
      <c r="D17" s="10" t="s">
        <v>32</v>
      </c>
      <c r="E17" s="11" t="s">
        <v>62</v>
      </c>
      <c r="F17" s="12" t="n">
        <v>46295</v>
      </c>
      <c r="G17" s="11" t="s">
        <v>62</v>
      </c>
      <c r="H17" s="12" t="n">
        <v>46295</v>
      </c>
    </row>
    <row r="18" customFormat="false" ht="15" hidden="false" customHeight="false" outlineLevel="0" collapsed="false">
      <c r="A18" s="10" t="s">
        <v>63</v>
      </c>
      <c r="B18" s="10" t="s">
        <v>64</v>
      </c>
      <c r="C18" s="10" t="s">
        <v>55</v>
      </c>
      <c r="D18" s="10" t="s">
        <v>32</v>
      </c>
      <c r="E18" s="11" t="s">
        <v>33</v>
      </c>
      <c r="F18" s="12" t="n">
        <v>46279</v>
      </c>
      <c r="G18" s="11" t="s">
        <v>33</v>
      </c>
      <c r="H18" s="12" t="n">
        <v>46279</v>
      </c>
    </row>
    <row r="19" customFormat="false" ht="15" hidden="false" customHeight="false" outlineLevel="0" collapsed="false">
      <c r="A19" s="10" t="s">
        <v>65</v>
      </c>
      <c r="B19" s="10" t="s">
        <v>66</v>
      </c>
      <c r="C19" s="10" t="s">
        <v>67</v>
      </c>
      <c r="D19" s="10" t="s">
        <v>32</v>
      </c>
      <c r="E19" s="11" t="s">
        <v>33</v>
      </c>
      <c r="F19" s="12" t="n">
        <v>46279</v>
      </c>
      <c r="G19" s="11" t="s">
        <v>33</v>
      </c>
      <c r="H19" s="12" t="n">
        <v>46279</v>
      </c>
    </row>
    <row r="20" customFormat="false" ht="15" hidden="false" customHeight="false" outlineLevel="0" collapsed="false">
      <c r="A20" s="10" t="s">
        <v>68</v>
      </c>
      <c r="B20" s="10" t="s">
        <v>69</v>
      </c>
      <c r="C20" s="10" t="s">
        <v>67</v>
      </c>
      <c r="D20" s="10" t="s">
        <v>32</v>
      </c>
      <c r="E20" s="11" t="s">
        <v>33</v>
      </c>
      <c r="F20" s="12" t="n">
        <v>46279</v>
      </c>
      <c r="G20" s="11" t="s">
        <v>33</v>
      </c>
      <c r="H20" s="12" t="n">
        <v>46279</v>
      </c>
    </row>
    <row r="21" customFormat="false" ht="15" hidden="false" customHeight="false" outlineLevel="0" collapsed="false">
      <c r="A21" s="10" t="s">
        <v>70</v>
      </c>
      <c r="B21" s="10" t="s">
        <v>71</v>
      </c>
      <c r="C21" s="10" t="s">
        <v>67</v>
      </c>
      <c r="D21" s="10" t="s">
        <v>32</v>
      </c>
      <c r="E21" s="11" t="s">
        <v>33</v>
      </c>
      <c r="F21" s="12" t="n">
        <v>46279</v>
      </c>
      <c r="G21" s="11" t="s">
        <v>33</v>
      </c>
      <c r="H21" s="12" t="n">
        <v>46279</v>
      </c>
    </row>
    <row r="22" customFormat="false" ht="15" hidden="false" customHeight="false" outlineLevel="0" collapsed="false">
      <c r="A22" s="10" t="s">
        <v>72</v>
      </c>
      <c r="B22" s="10" t="s">
        <v>73</v>
      </c>
      <c r="C22" s="10" t="s">
        <v>67</v>
      </c>
      <c r="D22" s="10" t="s">
        <v>32</v>
      </c>
      <c r="E22" s="11" t="s">
        <v>33</v>
      </c>
      <c r="F22" s="12" t="n">
        <v>46279</v>
      </c>
      <c r="G22" s="11" t="s">
        <v>33</v>
      </c>
      <c r="H22" s="12" t="n">
        <v>46279</v>
      </c>
    </row>
    <row r="23" customFormat="false" ht="15" hidden="false" customHeight="false" outlineLevel="0" collapsed="false">
      <c r="A23" s="10" t="s">
        <v>74</v>
      </c>
      <c r="B23" s="10" t="s">
        <v>75</v>
      </c>
      <c r="C23" s="10" t="s">
        <v>67</v>
      </c>
      <c r="D23" s="10" t="s">
        <v>32</v>
      </c>
      <c r="E23" s="11" t="s">
        <v>76</v>
      </c>
      <c r="F23" s="12" t="n">
        <v>46296</v>
      </c>
      <c r="G23" s="11" t="s">
        <v>76</v>
      </c>
      <c r="H23" s="12" t="n">
        <v>46296</v>
      </c>
    </row>
  </sheetData>
  <autoFilter ref="A4:H204"/>
  <conditionalFormatting sqref="A5:A204">
    <cfRule type="expression" priority="2" aboveAverage="0" equalAverage="0" bottom="0" percent="0" rank="0" text="" dxfId="5">
      <formula>AND(A5&lt;&gt;"",COUNTIF($A$5:$A$204,A5)&gt;1)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I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19.7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30" hidden="false" customHeight="true" outlineLevel="0" collapsed="false">
      <c r="A4" s="9" t="s">
        <v>21</v>
      </c>
      <c r="B4" s="9" t="s">
        <v>79</v>
      </c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13</v>
      </c>
    </row>
    <row r="5" customFormat="false" ht="15" hidden="false" customHeight="false" outlineLevel="0" collapsed="false">
      <c r="A5" s="10" t="s">
        <v>29</v>
      </c>
      <c r="B5" s="13" t="str">
        <f aca="false">IF(A5="","",IFERROR(INDEX(Ana_Malzeme!$B$5:$B$204,MATCH(A5,Ana_Malzeme!$A$5:$A$204,0)),"KATALOGDA YOK"))</f>
        <v>DKP Sac 3 mm (1250x2500)</v>
      </c>
      <c r="C5" s="13" t="str">
        <f aca="false">IF(A5="","",IFERROR(INDEX(Ana_Malzeme!$D$5:$D$204,MATCH(A5,Ana_Malzeme!$A$5:$A$204,0)),""))</f>
        <v>adet</v>
      </c>
      <c r="D5" s="14" t="n">
        <v>4180</v>
      </c>
      <c r="E5" s="10" t="s">
        <v>86</v>
      </c>
      <c r="F5" s="15" t="n">
        <f aca="false">IF(OR(A5="",D5=""),"",D5*IFERROR(INDEX(Kur!$B$5:$B$7,MATCH(E5,Kur!$A$5:$A$7,0)),0))</f>
        <v>4180</v>
      </c>
      <c r="G5" s="16" t="n">
        <v>46293</v>
      </c>
      <c r="H5" s="10" t="s">
        <v>87</v>
      </c>
      <c r="I5" s="13" t="str">
        <f aca="false">IF(A5="","",IF(D5="","FİYAT GİRİLMEMİŞ",IF(B5="KATALOGDA YOK","KATALOGDA YOK","Tamam")))</f>
        <v>Tamam</v>
      </c>
    </row>
    <row r="6" customFormat="false" ht="15" hidden="false" customHeight="false" outlineLevel="0" collapsed="false">
      <c r="A6" s="10" t="s">
        <v>34</v>
      </c>
      <c r="B6" s="13" t="str">
        <f aca="false">IF(A6="","",IFERROR(INDEX(Ana_Malzeme!$B$5:$B$204,MATCH(A6,Ana_Malzeme!$A$5:$A$204,0)),"KATALOGDA YOK"))</f>
        <v>DKP Sac 2 mm (1250x2500)</v>
      </c>
      <c r="C6" s="13" t="str">
        <f aca="false">IF(A6="","",IFERROR(INDEX(Ana_Malzeme!$D$5:$D$204,MATCH(A6,Ana_Malzeme!$A$5:$A$204,0)),""))</f>
        <v>adet</v>
      </c>
      <c r="D6" s="14" t="n">
        <v>2790</v>
      </c>
      <c r="E6" s="10" t="s">
        <v>86</v>
      </c>
      <c r="F6" s="15" t="n">
        <f aca="false">IF(OR(A6="",D6=""),"",D6*IFERROR(INDEX(Kur!$B$5:$B$7,MATCH(E6,Kur!$A$5:$A$7,0)),0))</f>
        <v>2790</v>
      </c>
      <c r="G6" s="16" t="n">
        <v>46293</v>
      </c>
      <c r="H6" s="10" t="s">
        <v>87</v>
      </c>
      <c r="I6" s="13" t="str">
        <f aca="false">IF(A6="","",IF(D6="","FİYAT GİRİLMEMİŞ",IF(B6="KATALOGDA YOK","KATALOGDA YOK","Tamam")))</f>
        <v>Tamam</v>
      </c>
    </row>
    <row r="7" customFormat="false" ht="15" hidden="false" customHeight="false" outlineLevel="0" collapsed="false">
      <c r="A7" s="10" t="s">
        <v>36</v>
      </c>
      <c r="B7" s="13" t="str">
        <f aca="false">IF(A7="","",IFERROR(INDEX(Ana_Malzeme!$B$5:$B$204,MATCH(A7,Ana_Malzeme!$A$5:$A$204,0)),"KATALOGDA YOK"))</f>
        <v>Kutu Profil 40x40x2 mm</v>
      </c>
      <c r="C7" s="13" t="str">
        <f aca="false">IF(A7="","",IFERROR(INDEX(Ana_Malzeme!$D$5:$D$204,MATCH(A7,Ana_Malzeme!$A$5:$A$204,0)),""))</f>
        <v>mt</v>
      </c>
      <c r="D7" s="14" t="n">
        <v>96</v>
      </c>
      <c r="E7" s="10" t="s">
        <v>86</v>
      </c>
      <c r="F7" s="15" t="n">
        <f aca="false">IF(OR(A7="",D7=""),"",D7*IFERROR(INDEX(Kur!$B$5:$B$7,MATCH(E7,Kur!$A$5:$A$7,0)),0))</f>
        <v>96</v>
      </c>
      <c r="G7" s="16" t="n">
        <v>46295</v>
      </c>
      <c r="H7" s="10" t="s">
        <v>87</v>
      </c>
      <c r="I7" s="13" t="str">
        <f aca="false">IF(A7="","",IF(D7="","FİYAT GİRİLMEMİŞ",IF(B7="KATALOGDA YOK","KATALOGDA YOK","Tamam")))</f>
        <v>Tamam</v>
      </c>
    </row>
    <row r="8" customFormat="false" ht="15" hidden="false" customHeight="false" outlineLevel="0" collapsed="false">
      <c r="A8" s="10" t="s">
        <v>39</v>
      </c>
      <c r="B8" s="13" t="str">
        <f aca="false">IF(A8="","",IFERROR(INDEX(Ana_Malzeme!$B$5:$B$204,MATCH(A8,Ana_Malzeme!$A$5:$A$204,0)),"KATALOGDA YOK"))</f>
        <v>Kutu Profil 30x30x2 mm</v>
      </c>
      <c r="C8" s="13" t="str">
        <f aca="false">IF(A8="","",IFERROR(INDEX(Ana_Malzeme!$D$5:$D$204,MATCH(A8,Ana_Malzeme!$A$5:$A$204,0)),""))</f>
        <v>mt</v>
      </c>
      <c r="D8" s="14" t="n">
        <v>71</v>
      </c>
      <c r="E8" s="10" t="s">
        <v>86</v>
      </c>
      <c r="F8" s="15" t="n">
        <f aca="false">IF(OR(A8="",D8=""),"",D8*IFERROR(INDEX(Kur!$B$5:$B$7,MATCH(E8,Kur!$A$5:$A$7,0)),0))</f>
        <v>71</v>
      </c>
      <c r="G8" s="16" t="n">
        <v>46293</v>
      </c>
      <c r="H8" s="10" t="s">
        <v>87</v>
      </c>
      <c r="I8" s="13" t="str">
        <f aca="false">IF(A8="","",IF(D8="","FİYAT GİRİLMEMİŞ",IF(B8="KATALOGDA YOK","KATALOGDA YOK","Tamam")))</f>
        <v>Tamam</v>
      </c>
    </row>
    <row r="9" customFormat="false" ht="15" hidden="false" customHeight="false" outlineLevel="0" collapsed="false">
      <c r="A9" s="10" t="s">
        <v>41</v>
      </c>
      <c r="B9" s="13" t="str">
        <f aca="false">IF(A9="","",IFERROR(INDEX(Ana_Malzeme!$B$5:$B$204,MATCH(A9,Ana_Malzeme!$A$5:$A$204,0)),"KATALOGDA YOK"))</f>
        <v>Alüminyum Sigma Profil 45x45</v>
      </c>
      <c r="C9" s="13" t="str">
        <f aca="false">IF(A9="","",IFERROR(INDEX(Ana_Malzeme!$D$5:$D$204,MATCH(A9,Ana_Malzeme!$A$5:$A$204,0)),""))</f>
        <v>mt</v>
      </c>
      <c r="D9" s="14" t="n">
        <v>4.8</v>
      </c>
      <c r="E9" s="10" t="s">
        <v>88</v>
      </c>
      <c r="F9" s="15" t="n">
        <f aca="false">IF(OR(A9="",D9=""),"",D9*IFERROR(INDEX(Kur!$B$5:$B$7,MATCH(E9,Kur!$A$5:$A$7,0)),0))</f>
        <v>197.76</v>
      </c>
      <c r="G9" s="16" t="n">
        <v>46293</v>
      </c>
      <c r="H9" s="10" t="s">
        <v>87</v>
      </c>
      <c r="I9" s="13" t="str">
        <f aca="false">IF(A9="","",IF(D9="","FİYAT GİRİLMEMİŞ",IF(B9="KATALOGDA YOK","KATALOGDA YOK","Tamam")))</f>
        <v>Tamam</v>
      </c>
    </row>
    <row r="10" customFormat="false" ht="15" hidden="false" customHeight="false" outlineLevel="0" collapsed="false">
      <c r="A10" s="10" t="s">
        <v>43</v>
      </c>
      <c r="B10" s="13" t="str">
        <f aca="false">IF(A10="","",IFERROR(INDEX(Ana_Malzeme!$B$5:$B$204,MATCH(A10,Ana_Malzeme!$A$5:$A$204,0)),"KATALOGDA YOK"))</f>
        <v>Asenkron Motor 0,75 kW 1400 d/d</v>
      </c>
      <c r="C10" s="13" t="str">
        <f aca="false">IF(A10="","",IFERROR(INDEX(Ana_Malzeme!$D$5:$D$204,MATCH(A10,Ana_Malzeme!$A$5:$A$204,0)),""))</f>
        <v>adet</v>
      </c>
      <c r="D10" s="14" t="n">
        <v>3350</v>
      </c>
      <c r="E10" s="10" t="s">
        <v>86</v>
      </c>
      <c r="F10" s="15" t="n">
        <f aca="false">IF(OR(A10="",D10=""),"",D10*IFERROR(INDEX(Kur!$B$5:$B$7,MATCH(E10,Kur!$A$5:$A$7,0)),0))</f>
        <v>3350</v>
      </c>
      <c r="G10" s="16" t="n">
        <v>46293</v>
      </c>
      <c r="H10" s="10" t="s">
        <v>87</v>
      </c>
      <c r="I10" s="13" t="str">
        <f aca="false">IF(A10="","",IF(D10="","FİYAT GİRİLMEMİŞ",IF(B10="KATALOGDA YOK","KATALOGDA YOK","Tamam")))</f>
        <v>Tamam</v>
      </c>
    </row>
    <row r="11" customFormat="false" ht="15" hidden="false" customHeight="false" outlineLevel="0" collapsed="false">
      <c r="A11" s="10" t="s">
        <v>46</v>
      </c>
      <c r="B11" s="13" t="str">
        <f aca="false">IF(A11="","",IFERROR(INDEX(Ana_Malzeme!$B$5:$B$204,MATCH(A11,Ana_Malzeme!$A$5:$A$204,0)),"KATALOGDA YOK"))</f>
        <v>Asenkron Motor 1,5 kW 1400 d/d</v>
      </c>
      <c r="C11" s="13" t="str">
        <f aca="false">IF(A11="","",IFERROR(INDEX(Ana_Malzeme!$D$5:$D$204,MATCH(A11,Ana_Malzeme!$A$5:$A$204,0)),""))</f>
        <v>adet</v>
      </c>
      <c r="D11" s="14" t="n">
        <v>5120</v>
      </c>
      <c r="E11" s="10" t="s">
        <v>86</v>
      </c>
      <c r="F11" s="15" t="n">
        <f aca="false">IF(OR(A11="",D11=""),"",D11*IFERROR(INDEX(Kur!$B$5:$B$7,MATCH(E11,Kur!$A$5:$A$7,0)),0))</f>
        <v>5120</v>
      </c>
      <c r="G11" s="16" t="n">
        <v>46293</v>
      </c>
      <c r="H11" s="10" t="s">
        <v>87</v>
      </c>
      <c r="I11" s="13" t="str">
        <f aca="false">IF(A11="","",IF(D11="","FİYAT GİRİLMEMİŞ",IF(B11="KATALOGDA YOK","KATALOGDA YOK","Tamam")))</f>
        <v>Tamam</v>
      </c>
    </row>
    <row r="12" customFormat="false" ht="15" hidden="false" customHeight="false" outlineLevel="0" collapsed="false">
      <c r="A12" s="10" t="s">
        <v>48</v>
      </c>
      <c r="B12" s="13" t="str">
        <f aca="false">IF(A12="","",IFERROR(INDEX(Ana_Malzeme!$B$5:$B$204,MATCH(A12,Ana_Malzeme!$A$5:$A$204,0)),"KATALOGDA YOK"))</f>
        <v>Sonsuz Vida Redüktör W63 1:20</v>
      </c>
      <c r="C12" s="13" t="str">
        <f aca="false">IF(A12="","",IFERROR(INDEX(Ana_Malzeme!$D$5:$D$204,MATCH(A12,Ana_Malzeme!$A$5:$A$204,0)),""))</f>
        <v>adet</v>
      </c>
      <c r="D12" s="14" t="n">
        <v>3890</v>
      </c>
      <c r="E12" s="10" t="s">
        <v>86</v>
      </c>
      <c r="F12" s="15" t="n">
        <f aca="false">IF(OR(A12="",D12=""),"",D12*IFERROR(INDEX(Kur!$B$5:$B$7,MATCH(E12,Kur!$A$5:$A$7,0)),0))</f>
        <v>3890</v>
      </c>
      <c r="G12" s="16" t="n">
        <v>46293</v>
      </c>
      <c r="H12" s="10" t="s">
        <v>87</v>
      </c>
      <c r="I12" s="13" t="str">
        <f aca="false">IF(A12="","",IF(D12="","FİYAT GİRİLMEMİŞ",IF(B12="KATALOGDA YOK","KATALOGDA YOK","Tamam")))</f>
        <v>Tamam</v>
      </c>
    </row>
    <row r="13" customFormat="false" ht="15" hidden="false" customHeight="false" outlineLevel="0" collapsed="false">
      <c r="A13" s="10" t="s">
        <v>50</v>
      </c>
      <c r="B13" s="13" t="str">
        <f aca="false">IF(A13="","",IFERROR(INDEX(Ana_Malzeme!$B$5:$B$204,MATCH(A13,Ana_Malzeme!$A$5:$A$204,0)),"KATALOGDA YOK"))</f>
        <v>Servo Motor 400 W + Sürücü</v>
      </c>
      <c r="C13" s="13" t="str">
        <f aca="false">IF(A13="","",IFERROR(INDEX(Ana_Malzeme!$D$5:$D$204,MATCH(A13,Ana_Malzeme!$A$5:$A$204,0)),""))</f>
        <v>takım</v>
      </c>
      <c r="D13" s="14" t="n">
        <v>215</v>
      </c>
      <c r="E13" s="10" t="s">
        <v>88</v>
      </c>
      <c r="F13" s="15" t="n">
        <f aca="false">IF(OR(A13="",D13=""),"",D13*IFERROR(INDEX(Kur!$B$5:$B$7,MATCH(E13,Kur!$A$5:$A$7,0)),0))</f>
        <v>8858</v>
      </c>
      <c r="G13" s="16" t="n">
        <v>46293</v>
      </c>
      <c r="H13" s="10" t="s">
        <v>87</v>
      </c>
      <c r="I13" s="13" t="str">
        <f aca="false">IF(A13="","",IF(D13="","FİYAT GİRİLMEMİŞ",IF(B13="KATALOGDA YOK","KATALOGDA YOK","Tamam")))</f>
        <v>Tamam</v>
      </c>
    </row>
    <row r="14" customFormat="false" ht="15" hidden="false" customHeight="false" outlineLevel="0" collapsed="false">
      <c r="A14" s="10" t="s">
        <v>53</v>
      </c>
      <c r="B14" s="13" t="str">
        <f aca="false">IF(A14="","",IFERROR(INDEX(Ana_Malzeme!$B$5:$B$204,MATCH(A14,Ana_Malzeme!$A$5:$A$204,0)),"KATALOGDA YOK"))</f>
        <v>PLC CPU 14 G/Ç Röle Çıkışlı</v>
      </c>
      <c r="C14" s="13" t="str">
        <f aca="false">IF(A14="","",IFERROR(INDEX(Ana_Malzeme!$D$5:$D$204,MATCH(A14,Ana_Malzeme!$A$5:$A$204,0)),""))</f>
        <v>adet</v>
      </c>
      <c r="D14" s="14" t="n">
        <v>142</v>
      </c>
      <c r="E14" s="10" t="s">
        <v>88</v>
      </c>
      <c r="F14" s="15" t="n">
        <f aca="false">IF(OR(A14="",D14=""),"",D14*IFERROR(INDEX(Kur!$B$5:$B$7,MATCH(E14,Kur!$A$5:$A$7,0)),0))</f>
        <v>5850.4</v>
      </c>
      <c r="G14" s="16" t="n">
        <v>46293</v>
      </c>
      <c r="H14" s="10" t="s">
        <v>87</v>
      </c>
      <c r="I14" s="13" t="str">
        <f aca="false">IF(A14="","",IF(D14="","FİYAT GİRİLMEMİŞ",IF(B14="KATALOGDA YOK","KATALOGDA YOK","Tamam")))</f>
        <v>Tamam</v>
      </c>
    </row>
    <row r="15" customFormat="false" ht="15" hidden="false" customHeight="false" outlineLevel="0" collapsed="false">
      <c r="A15" s="10" t="s">
        <v>56</v>
      </c>
      <c r="B15" s="13" t="str">
        <f aca="false">IF(A15="","",IFERROR(INDEX(Ana_Malzeme!$B$5:$B$204,MATCH(A15,Ana_Malzeme!$A$5:$A$204,0)),"KATALOGDA YOK"))</f>
        <v>HMI Dokunmatik Panel 7"</v>
      </c>
      <c r="C15" s="13" t="str">
        <f aca="false">IF(A15="","",IFERROR(INDEX(Ana_Malzeme!$D$5:$D$204,MATCH(A15,Ana_Malzeme!$A$5:$A$204,0)),""))</f>
        <v>adet</v>
      </c>
      <c r="D15" s="14" t="n">
        <v>188</v>
      </c>
      <c r="E15" s="10" t="s">
        <v>88</v>
      </c>
      <c r="F15" s="15" t="n">
        <f aca="false">IF(OR(A15="",D15=""),"",D15*IFERROR(INDEX(Kur!$B$5:$B$7,MATCH(E15,Kur!$A$5:$A$7,0)),0))</f>
        <v>7745.6</v>
      </c>
      <c r="G15" s="16" t="n">
        <v>46293</v>
      </c>
      <c r="H15" s="10" t="s">
        <v>87</v>
      </c>
      <c r="I15" s="13" t="str">
        <f aca="false">IF(A15="","",IF(D15="","FİYAT GİRİLMEMİŞ",IF(B15="KATALOGDA YOK","KATALOGDA YOK","Tamam")))</f>
        <v>Tamam</v>
      </c>
    </row>
    <row r="16" customFormat="false" ht="15" hidden="false" customHeight="false" outlineLevel="0" collapsed="false">
      <c r="A16" s="10" t="s">
        <v>58</v>
      </c>
      <c r="B16" s="13" t="str">
        <f aca="false">IF(A16="","",IFERROR(INDEX(Ana_Malzeme!$B$5:$B$204,MATCH(A16,Ana_Malzeme!$A$5:$A$204,0)),"KATALOGDA YOK"))</f>
        <v>Kablo 3x1,5 mm² Esnek</v>
      </c>
      <c r="C16" s="13" t="str">
        <f aca="false">IF(A16="","",IFERROR(INDEX(Ana_Malzeme!$D$5:$D$204,MATCH(A16,Ana_Malzeme!$A$5:$A$204,0)),""))</f>
        <v>mt</v>
      </c>
      <c r="D16" s="14" t="n">
        <v>21.5</v>
      </c>
      <c r="E16" s="10" t="s">
        <v>86</v>
      </c>
      <c r="F16" s="15" t="n">
        <f aca="false">IF(OR(A16="",D16=""),"",D16*IFERROR(INDEX(Kur!$B$5:$B$7,MATCH(E16,Kur!$A$5:$A$7,0)),0))</f>
        <v>21.5</v>
      </c>
      <c r="G16" s="16" t="n">
        <v>46293</v>
      </c>
      <c r="H16" s="10" t="s">
        <v>87</v>
      </c>
      <c r="I16" s="13" t="str">
        <f aca="false">IF(A16="","",IF(D16="","FİYAT GİRİLMEMİŞ",IF(B16="KATALOGDA YOK","KATALOGDA YOK","Tamam")))</f>
        <v>Tamam</v>
      </c>
    </row>
    <row r="17" customFormat="false" ht="15" hidden="false" customHeight="false" outlineLevel="0" collapsed="false">
      <c r="A17" s="10" t="s">
        <v>60</v>
      </c>
      <c r="B17" s="13" t="str">
        <f aca="false">IF(A17="","",IFERROR(INDEX(Ana_Malzeme!$B$5:$B$204,MATCH(A17,Ana_Malzeme!$A$5:$A$204,0)),"KATALOGDA YOK"))</f>
        <v>Endüktif Sensör M12 PNP</v>
      </c>
      <c r="C17" s="13" t="str">
        <f aca="false">IF(A17="","",IFERROR(INDEX(Ana_Malzeme!$D$5:$D$204,MATCH(A17,Ana_Malzeme!$A$5:$A$204,0)),""))</f>
        <v>adet</v>
      </c>
      <c r="D17" s="14" t="n">
        <v>6.4</v>
      </c>
      <c r="E17" s="10" t="s">
        <v>88</v>
      </c>
      <c r="F17" s="15" t="n">
        <f aca="false">IF(OR(A17="",D17=""),"",D17*IFERROR(INDEX(Kur!$B$5:$B$7,MATCH(E17,Kur!$A$5:$A$7,0)),0))</f>
        <v>263.68</v>
      </c>
      <c r="G17" s="16" t="n">
        <v>46295</v>
      </c>
      <c r="H17" s="10" t="s">
        <v>87</v>
      </c>
      <c r="I17" s="13" t="str">
        <f aca="false">IF(A17="","",IF(D17="","FİYAT GİRİLMEMİŞ",IF(B17="KATALOGDA YOK","KATALOGDA YOK","Tamam")))</f>
        <v>Tamam</v>
      </c>
    </row>
    <row r="18" customFormat="false" ht="15" hidden="false" customHeight="false" outlineLevel="0" collapsed="false">
      <c r="A18" s="10" t="s">
        <v>63</v>
      </c>
      <c r="B18" s="13" t="str">
        <f aca="false">IF(A18="","",IFERROR(INDEX(Ana_Malzeme!$B$5:$B$204,MATCH(A18,Ana_Malzeme!$A$5:$A$204,0)),"KATALOGDA YOK"))</f>
        <v>Röle 24 V DC 8 pin + Soket</v>
      </c>
      <c r="C18" s="13" t="str">
        <f aca="false">IF(A18="","",IFERROR(INDEX(Ana_Malzeme!$D$5:$D$204,MATCH(A18,Ana_Malzeme!$A$5:$A$204,0)),""))</f>
        <v>adet</v>
      </c>
      <c r="D18" s="14" t="n">
        <v>3.1</v>
      </c>
      <c r="E18" s="10" t="s">
        <v>88</v>
      </c>
      <c r="F18" s="15" t="n">
        <f aca="false">IF(OR(A18="",D18=""),"",D18*IFERROR(INDEX(Kur!$B$5:$B$7,MATCH(E18,Kur!$A$5:$A$7,0)),0))</f>
        <v>127.72</v>
      </c>
      <c r="G18" s="16" t="n">
        <v>46293</v>
      </c>
      <c r="H18" s="10" t="s">
        <v>87</v>
      </c>
      <c r="I18" s="13" t="str">
        <f aca="false">IF(A18="","",IF(D18="","FİYAT GİRİLMEMİŞ",IF(B18="KATALOGDA YOK","KATALOGDA YOK","Tamam")))</f>
        <v>Tamam</v>
      </c>
    </row>
    <row r="19" customFormat="false" ht="15" hidden="false" customHeight="false" outlineLevel="0" collapsed="false">
      <c r="A19" s="10" t="s">
        <v>65</v>
      </c>
      <c r="B19" s="13" t="str">
        <f aca="false">IF(A19="","",IFERROR(INDEX(Ana_Malzeme!$B$5:$B$204,MATCH(A19,Ana_Malzeme!$A$5:$A$204,0)),"KATALOGDA YOK"))</f>
        <v>Civata M8x25 Paslanmaz</v>
      </c>
      <c r="C19" s="13" t="str">
        <f aca="false">IF(A19="","",IFERROR(INDEX(Ana_Malzeme!$D$5:$D$204,MATCH(A19,Ana_Malzeme!$A$5:$A$204,0)),""))</f>
        <v>adet</v>
      </c>
      <c r="D19" s="14" t="n">
        <v>4.2</v>
      </c>
      <c r="E19" s="10" t="s">
        <v>86</v>
      </c>
      <c r="F19" s="15" t="n">
        <f aca="false">IF(OR(A19="",D19=""),"",D19*IFERROR(INDEX(Kur!$B$5:$B$7,MATCH(E19,Kur!$A$5:$A$7,0)),0))</f>
        <v>4.2</v>
      </c>
      <c r="G19" s="16" t="n">
        <v>46293</v>
      </c>
      <c r="H19" s="10" t="s">
        <v>87</v>
      </c>
      <c r="I19" s="13" t="str">
        <f aca="false">IF(A19="","",IF(D19="","FİYAT GİRİLMEMİŞ",IF(B19="KATALOGDA YOK","KATALOGDA YOK","Tamam")))</f>
        <v>Tamam</v>
      </c>
    </row>
    <row r="20" customFormat="false" ht="15" hidden="false" customHeight="false" outlineLevel="0" collapsed="false">
      <c r="A20" s="10" t="s">
        <v>68</v>
      </c>
      <c r="B20" s="13" t="str">
        <f aca="false">IF(A20="","",IFERROR(INDEX(Ana_Malzeme!$B$5:$B$204,MATCH(A20,Ana_Malzeme!$A$5:$A$204,0)),"KATALOGDA YOK"))</f>
        <v>Civata M10x40 8.8</v>
      </c>
      <c r="C20" s="13" t="str">
        <f aca="false">IF(A20="","",IFERROR(INDEX(Ana_Malzeme!$D$5:$D$204,MATCH(A20,Ana_Malzeme!$A$5:$A$204,0)),""))</f>
        <v>adet</v>
      </c>
      <c r="D20" s="14" t="n">
        <v>6.8</v>
      </c>
      <c r="E20" s="10" t="s">
        <v>86</v>
      </c>
      <c r="F20" s="15" t="n">
        <f aca="false">IF(OR(A20="",D20=""),"",D20*IFERROR(INDEX(Kur!$B$5:$B$7,MATCH(E20,Kur!$A$5:$A$7,0)),0))</f>
        <v>6.8</v>
      </c>
      <c r="G20" s="16" t="n">
        <v>46293</v>
      </c>
      <c r="H20" s="10" t="s">
        <v>87</v>
      </c>
      <c r="I20" s="13" t="str">
        <f aca="false">IF(A20="","",IF(D20="","FİYAT GİRİLMEMİŞ",IF(B20="KATALOGDA YOK","KATALOGDA YOK","Tamam")))</f>
        <v>Tamam</v>
      </c>
    </row>
    <row r="21" customFormat="false" ht="15" hidden="false" customHeight="false" outlineLevel="0" collapsed="false">
      <c r="A21" s="10" t="s">
        <v>70</v>
      </c>
      <c r="B21" s="13" t="str">
        <f aca="false">IF(A21="","",IFERROR(INDEX(Ana_Malzeme!$B$5:$B$204,MATCH(A21,Ana_Malzeme!$A$5:$A$204,0)),"KATALOGDA YOK"))</f>
        <v>Rondela M8 Paslanmaz</v>
      </c>
      <c r="C21" s="13" t="str">
        <f aca="false">IF(A21="","",IFERROR(INDEX(Ana_Malzeme!$D$5:$D$204,MATCH(A21,Ana_Malzeme!$A$5:$A$204,0)),""))</f>
        <v>adet</v>
      </c>
      <c r="D21" s="14" t="n">
        <v>0.9</v>
      </c>
      <c r="E21" s="10" t="s">
        <v>86</v>
      </c>
      <c r="F21" s="15" t="n">
        <f aca="false">IF(OR(A21="",D21=""),"",D21*IFERROR(INDEX(Kur!$B$5:$B$7,MATCH(E21,Kur!$A$5:$A$7,0)),0))</f>
        <v>0.9</v>
      </c>
      <c r="G21" s="16" t="n">
        <v>46293</v>
      </c>
      <c r="H21" s="10" t="s">
        <v>87</v>
      </c>
      <c r="I21" s="13" t="str">
        <f aca="false">IF(A21="","",IF(D21="","FİYAT GİRİLMEMİŞ",IF(B21="KATALOGDA YOK","KATALOGDA YOK","Tamam")))</f>
        <v>Tamam</v>
      </c>
    </row>
    <row r="22" customFormat="false" ht="15" hidden="false" customHeight="false" outlineLevel="0" collapsed="false">
      <c r="A22" s="10" t="s">
        <v>72</v>
      </c>
      <c r="B22" s="13" t="str">
        <f aca="false">IF(A22="","",IFERROR(INDEX(Ana_Malzeme!$B$5:$B$204,MATCH(A22,Ana_Malzeme!$A$5:$A$204,0)),"KATALOGDA YOK"))</f>
        <v>Somun M8 Paslanmaz</v>
      </c>
      <c r="C22" s="13" t="str">
        <f aca="false">IF(A22="","",IFERROR(INDEX(Ana_Malzeme!$D$5:$D$204,MATCH(A22,Ana_Malzeme!$A$5:$A$204,0)),""))</f>
        <v>adet</v>
      </c>
      <c r="D22" s="14" t="n">
        <v>1.6</v>
      </c>
      <c r="E22" s="10" t="s">
        <v>86</v>
      </c>
      <c r="F22" s="15" t="n">
        <f aca="false">IF(OR(A22="",D22=""),"",D22*IFERROR(INDEX(Kur!$B$5:$B$7,MATCH(E22,Kur!$A$5:$A$7,0)),0))</f>
        <v>1.6</v>
      </c>
      <c r="G22" s="16" t="n">
        <v>46293</v>
      </c>
      <c r="H22" s="10" t="s">
        <v>87</v>
      </c>
      <c r="I22" s="13" t="str">
        <f aca="false">IF(A22="","",IF(D22="","FİYAT GİRİLMEMİŞ",IF(B22="KATALOGDA YOK","KATALOGDA YOK","Tamam")))</f>
        <v>Tamam</v>
      </c>
    </row>
    <row r="23" customFormat="false" ht="15" hidden="false" customHeight="false" outlineLevel="0" collapsed="false">
      <c r="A23" s="10" t="s">
        <v>74</v>
      </c>
      <c r="B23" s="13" t="str">
        <f aca="false">IF(A23="","",IFERROR(INDEX(Ana_Malzeme!$B$5:$B$204,MATCH(A23,Ana_Malzeme!$A$5:$A$204,0)),"KATALOGDA YOK"))</f>
        <v>Rulman 6204 2RS</v>
      </c>
      <c r="C23" s="13" t="str">
        <f aca="false">IF(A23="","",IFERROR(INDEX(Ana_Malzeme!$D$5:$D$204,MATCH(A23,Ana_Malzeme!$A$5:$A$204,0)),""))</f>
        <v>adet</v>
      </c>
      <c r="D23" s="14"/>
      <c r="E23" s="10" t="s">
        <v>86</v>
      </c>
      <c r="F23" s="15" t="str">
        <f aca="false">IF(OR(A23="",D23=""),"",D23*IFERROR(INDEX(Kur!$B$5:$B$7,MATCH(E23,Kur!$A$5:$A$7,0)),0))</f>
        <v/>
      </c>
      <c r="G23" s="16"/>
      <c r="H23" s="10"/>
      <c r="I23" s="13" t="str">
        <f aca="false">IF(A23="","",IF(D23="","FİYAT GİRİLMEMİŞ",IF(B23="KATALOGDA YOK","KATALOGDA YOK","Tamam")))</f>
        <v>FİYAT GİRİLMEMİŞ</v>
      </c>
    </row>
    <row r="24" customFormat="false" ht="15" hidden="false" customHeight="false" outlineLevel="0" collapsed="false">
      <c r="A24" s="10"/>
      <c r="B24" s="13" t="str">
        <f aca="false">IF(A24="","",IFERROR(INDEX(Ana_Malzeme!$B$5:$B$204,MATCH(A24,Ana_Malzeme!$A$5:$A$204,0)),"KATALOGDA YOK"))</f>
        <v/>
      </c>
      <c r="C24" s="13" t="str">
        <f aca="false">IF(A24="","",IFERROR(INDEX(Ana_Malzeme!$D$5:$D$204,MATCH(A24,Ana_Malzeme!$A$5:$A$204,0)),""))</f>
        <v/>
      </c>
      <c r="D24" s="14"/>
      <c r="E24" s="10"/>
      <c r="F24" s="15" t="str">
        <f aca="false">IF(OR(A24="",D24=""),"",D24*IFERROR(INDEX(Kur!$B$5:$B$7,MATCH(E24,Kur!$A$5:$A$7,0)),0))</f>
        <v/>
      </c>
      <c r="G24" s="16"/>
      <c r="H24" s="10"/>
      <c r="I24" s="13" t="str">
        <f aca="false">IF(A24="","",IF(D24="","FİYAT GİRİLMEMİŞ",IF(B24="KATALOGDA YOK","KATALOGDA YOK","Tamam")))</f>
        <v/>
      </c>
    </row>
    <row r="25" customFormat="false" ht="15" hidden="false" customHeight="false" outlineLevel="0" collapsed="false">
      <c r="A25" s="10"/>
      <c r="B25" s="13" t="str">
        <f aca="false">IF(A25="","",IFERROR(INDEX(Ana_Malzeme!$B$5:$B$204,MATCH(A25,Ana_Malzeme!$A$5:$A$204,0)),"KATALOGDA YOK"))</f>
        <v/>
      </c>
      <c r="C25" s="13" t="str">
        <f aca="false">IF(A25="","",IFERROR(INDEX(Ana_Malzeme!$D$5:$D$204,MATCH(A25,Ana_Malzeme!$A$5:$A$204,0)),""))</f>
        <v/>
      </c>
      <c r="D25" s="14"/>
      <c r="E25" s="10"/>
      <c r="F25" s="15" t="str">
        <f aca="false">IF(OR(A25="",D25=""),"",D25*IFERROR(INDEX(Kur!$B$5:$B$7,MATCH(E25,Kur!$A$5:$A$7,0)),0))</f>
        <v/>
      </c>
      <c r="G25" s="16"/>
      <c r="H25" s="10"/>
      <c r="I25" s="13" t="str">
        <f aca="false">IF(A25="","",IF(D25="","FİYAT GİRİLMEMİŞ",IF(B25="KATALOGDA YOK","KATALOGDA YOK","Tamam")))</f>
        <v/>
      </c>
    </row>
    <row r="26" customFormat="false" ht="15" hidden="false" customHeight="false" outlineLevel="0" collapsed="false">
      <c r="A26" s="10"/>
      <c r="B26" s="13" t="str">
        <f aca="false">IF(A26="","",IFERROR(INDEX(Ana_Malzeme!$B$5:$B$204,MATCH(A26,Ana_Malzeme!$A$5:$A$204,0)),"KATALOGDA YOK"))</f>
        <v/>
      </c>
      <c r="C26" s="13" t="str">
        <f aca="false">IF(A26="","",IFERROR(INDEX(Ana_Malzeme!$D$5:$D$204,MATCH(A26,Ana_Malzeme!$A$5:$A$204,0)),""))</f>
        <v/>
      </c>
      <c r="D26" s="14"/>
      <c r="E26" s="10"/>
      <c r="F26" s="15" t="str">
        <f aca="false">IF(OR(A26="",D26=""),"",D26*IFERROR(INDEX(Kur!$B$5:$B$7,MATCH(E26,Kur!$A$5:$A$7,0)),0))</f>
        <v/>
      </c>
      <c r="G26" s="16"/>
      <c r="H26" s="10"/>
      <c r="I26" s="13" t="str">
        <f aca="false">IF(A26="","",IF(D26="","FİYAT GİRİLMEMİŞ",IF(B26="KATALOGDA YOK","KATALOGDA YOK","Tamam")))</f>
        <v/>
      </c>
    </row>
    <row r="27" customFormat="false" ht="15" hidden="false" customHeight="false" outlineLevel="0" collapsed="false">
      <c r="A27" s="10"/>
      <c r="B27" s="13" t="str">
        <f aca="false">IF(A27="","",IFERROR(INDEX(Ana_Malzeme!$B$5:$B$204,MATCH(A27,Ana_Malzeme!$A$5:$A$204,0)),"KATALOGDA YOK"))</f>
        <v/>
      </c>
      <c r="C27" s="13" t="str">
        <f aca="false">IF(A27="","",IFERROR(INDEX(Ana_Malzeme!$D$5:$D$204,MATCH(A27,Ana_Malzeme!$A$5:$A$204,0)),""))</f>
        <v/>
      </c>
      <c r="D27" s="14"/>
      <c r="E27" s="10"/>
      <c r="F27" s="15" t="str">
        <f aca="false">IF(OR(A27="",D27=""),"",D27*IFERROR(INDEX(Kur!$B$5:$B$7,MATCH(E27,Kur!$A$5:$A$7,0)),0))</f>
        <v/>
      </c>
      <c r="G27" s="16"/>
      <c r="H27" s="10"/>
      <c r="I27" s="13" t="str">
        <f aca="false">IF(A27="","",IF(D27="","FİYAT GİRİLMEMİŞ",IF(B27="KATALOGDA YOK","KATALOGDA YOK","Tamam")))</f>
        <v/>
      </c>
    </row>
    <row r="28" customFormat="false" ht="15" hidden="false" customHeight="false" outlineLevel="0" collapsed="false">
      <c r="A28" s="10"/>
      <c r="B28" s="13" t="str">
        <f aca="false">IF(A28="","",IFERROR(INDEX(Ana_Malzeme!$B$5:$B$204,MATCH(A28,Ana_Malzeme!$A$5:$A$204,0)),"KATALOGDA YOK"))</f>
        <v/>
      </c>
      <c r="C28" s="13" t="str">
        <f aca="false">IF(A28="","",IFERROR(INDEX(Ana_Malzeme!$D$5:$D$204,MATCH(A28,Ana_Malzeme!$A$5:$A$204,0)),""))</f>
        <v/>
      </c>
      <c r="D28" s="14"/>
      <c r="E28" s="10"/>
      <c r="F28" s="15" t="str">
        <f aca="false">IF(OR(A28="",D28=""),"",D28*IFERROR(INDEX(Kur!$B$5:$B$7,MATCH(E28,Kur!$A$5:$A$7,0)),0))</f>
        <v/>
      </c>
      <c r="G28" s="16"/>
      <c r="H28" s="10"/>
      <c r="I28" s="13" t="str">
        <f aca="false">IF(A28="","",IF(D28="","FİYAT GİRİLMEMİŞ",IF(B28="KATALOGDA YOK","KATALOGDA YOK","Tamam")))</f>
        <v/>
      </c>
    </row>
    <row r="29" customFormat="false" ht="15" hidden="false" customHeight="false" outlineLevel="0" collapsed="false">
      <c r="A29" s="10"/>
      <c r="B29" s="13" t="str">
        <f aca="false">IF(A29="","",IFERROR(INDEX(Ana_Malzeme!$B$5:$B$204,MATCH(A29,Ana_Malzeme!$A$5:$A$204,0)),"KATALOGDA YOK"))</f>
        <v/>
      </c>
      <c r="C29" s="13" t="str">
        <f aca="false">IF(A29="","",IFERROR(INDEX(Ana_Malzeme!$D$5:$D$204,MATCH(A29,Ana_Malzeme!$A$5:$A$204,0)),""))</f>
        <v/>
      </c>
      <c r="D29" s="14"/>
      <c r="E29" s="10"/>
      <c r="F29" s="15" t="str">
        <f aca="false">IF(OR(A29="",D29=""),"",D29*IFERROR(INDEX(Kur!$B$5:$B$7,MATCH(E29,Kur!$A$5:$A$7,0)),0))</f>
        <v/>
      </c>
      <c r="G29" s="16"/>
      <c r="H29" s="10"/>
      <c r="I29" s="13" t="str">
        <f aca="false">IF(A29="","",IF(D29="","FİYAT GİRİLMEMİŞ",IF(B29="KATALOGDA YOK","KATALOGDA YOK","Tamam")))</f>
        <v/>
      </c>
    </row>
    <row r="30" customFormat="false" ht="15" hidden="false" customHeight="false" outlineLevel="0" collapsed="false">
      <c r="A30" s="10"/>
      <c r="B30" s="13" t="str">
        <f aca="false">IF(A30="","",IFERROR(INDEX(Ana_Malzeme!$B$5:$B$204,MATCH(A30,Ana_Malzeme!$A$5:$A$204,0)),"KATALOGDA YOK"))</f>
        <v/>
      </c>
      <c r="C30" s="13" t="str">
        <f aca="false">IF(A30="","",IFERROR(INDEX(Ana_Malzeme!$D$5:$D$204,MATCH(A30,Ana_Malzeme!$A$5:$A$204,0)),""))</f>
        <v/>
      </c>
      <c r="D30" s="14"/>
      <c r="E30" s="10"/>
      <c r="F30" s="15" t="str">
        <f aca="false">IF(OR(A30="",D30=""),"",D30*IFERROR(INDEX(Kur!$B$5:$B$7,MATCH(E30,Kur!$A$5:$A$7,0)),0))</f>
        <v/>
      </c>
      <c r="G30" s="16"/>
      <c r="H30" s="10"/>
      <c r="I30" s="13" t="str">
        <f aca="false">IF(A30="","",IF(D30="","FİYAT GİRİLMEMİŞ",IF(B30="KATALOGDA YOK","KATALOGDA YOK","Tamam")))</f>
        <v/>
      </c>
    </row>
    <row r="31" customFormat="false" ht="15" hidden="false" customHeight="false" outlineLevel="0" collapsed="false">
      <c r="A31" s="10"/>
      <c r="B31" s="13" t="str">
        <f aca="false">IF(A31="","",IFERROR(INDEX(Ana_Malzeme!$B$5:$B$204,MATCH(A31,Ana_Malzeme!$A$5:$A$204,0)),"KATALOGDA YOK"))</f>
        <v/>
      </c>
      <c r="C31" s="13" t="str">
        <f aca="false">IF(A31="","",IFERROR(INDEX(Ana_Malzeme!$D$5:$D$204,MATCH(A31,Ana_Malzeme!$A$5:$A$204,0)),""))</f>
        <v/>
      </c>
      <c r="D31" s="14"/>
      <c r="E31" s="10"/>
      <c r="F31" s="15" t="str">
        <f aca="false">IF(OR(A31="",D31=""),"",D31*IFERROR(INDEX(Kur!$B$5:$B$7,MATCH(E31,Kur!$A$5:$A$7,0)),0))</f>
        <v/>
      </c>
      <c r="G31" s="16"/>
      <c r="H31" s="10"/>
      <c r="I31" s="13" t="str">
        <f aca="false">IF(A31="","",IF(D31="","FİYAT GİRİLMEMİŞ",IF(B31="KATALOGDA YOK","KATALOGDA YOK","Tamam")))</f>
        <v/>
      </c>
    </row>
    <row r="32" customFormat="false" ht="15" hidden="false" customHeight="false" outlineLevel="0" collapsed="false">
      <c r="A32" s="10"/>
      <c r="B32" s="13" t="str">
        <f aca="false">IF(A32="","",IFERROR(INDEX(Ana_Malzeme!$B$5:$B$204,MATCH(A32,Ana_Malzeme!$A$5:$A$204,0)),"KATALOGDA YOK"))</f>
        <v/>
      </c>
      <c r="C32" s="13" t="str">
        <f aca="false">IF(A32="","",IFERROR(INDEX(Ana_Malzeme!$D$5:$D$204,MATCH(A32,Ana_Malzeme!$A$5:$A$204,0)),""))</f>
        <v/>
      </c>
      <c r="D32" s="14"/>
      <c r="E32" s="10"/>
      <c r="F32" s="15" t="str">
        <f aca="false">IF(OR(A32="",D32=""),"",D32*IFERROR(INDEX(Kur!$B$5:$B$7,MATCH(E32,Kur!$A$5:$A$7,0)),0))</f>
        <v/>
      </c>
      <c r="G32" s="16"/>
      <c r="H32" s="10"/>
      <c r="I32" s="13" t="str">
        <f aca="false">IF(A32="","",IF(D32="","FİYAT GİRİLMEMİŞ",IF(B32="KATALOGDA YOK","KATALOGDA YOK","Tamam")))</f>
        <v/>
      </c>
    </row>
    <row r="33" customFormat="false" ht="15" hidden="false" customHeight="false" outlineLevel="0" collapsed="false">
      <c r="A33" s="10"/>
      <c r="B33" s="13" t="str">
        <f aca="false">IF(A33="","",IFERROR(INDEX(Ana_Malzeme!$B$5:$B$204,MATCH(A33,Ana_Malzeme!$A$5:$A$204,0)),"KATALOGDA YOK"))</f>
        <v/>
      </c>
      <c r="C33" s="13" t="str">
        <f aca="false">IF(A33="","",IFERROR(INDEX(Ana_Malzeme!$D$5:$D$204,MATCH(A33,Ana_Malzeme!$A$5:$A$204,0)),""))</f>
        <v/>
      </c>
      <c r="D33" s="14"/>
      <c r="E33" s="10"/>
      <c r="F33" s="15" t="str">
        <f aca="false">IF(OR(A33="",D33=""),"",D33*IFERROR(INDEX(Kur!$B$5:$B$7,MATCH(E33,Kur!$A$5:$A$7,0)),0))</f>
        <v/>
      </c>
      <c r="G33" s="16"/>
      <c r="H33" s="10"/>
      <c r="I33" s="13" t="str">
        <f aca="false">IF(A33="","",IF(D33="","FİYAT GİRİLMEMİŞ",IF(B33="KATALOGDA YOK","KATALOGDA YOK","Tamam")))</f>
        <v/>
      </c>
    </row>
    <row r="34" customFormat="false" ht="15" hidden="false" customHeight="false" outlineLevel="0" collapsed="false">
      <c r="A34" s="10"/>
      <c r="B34" s="13" t="str">
        <f aca="false">IF(A34="","",IFERROR(INDEX(Ana_Malzeme!$B$5:$B$204,MATCH(A34,Ana_Malzeme!$A$5:$A$204,0)),"KATALOGDA YOK"))</f>
        <v/>
      </c>
      <c r="C34" s="13" t="str">
        <f aca="false">IF(A34="","",IFERROR(INDEX(Ana_Malzeme!$D$5:$D$204,MATCH(A34,Ana_Malzeme!$A$5:$A$204,0)),""))</f>
        <v/>
      </c>
      <c r="D34" s="14"/>
      <c r="E34" s="10"/>
      <c r="F34" s="15" t="str">
        <f aca="false">IF(OR(A34="",D34=""),"",D34*IFERROR(INDEX(Kur!$B$5:$B$7,MATCH(E34,Kur!$A$5:$A$7,0)),0))</f>
        <v/>
      </c>
      <c r="G34" s="16"/>
      <c r="H34" s="10"/>
      <c r="I34" s="13" t="str">
        <f aca="false">IF(A34="","",IF(D34="","FİYAT GİRİLMEMİŞ",IF(B34="KATALOGDA YOK","KATALOGDA YOK","Tamam")))</f>
        <v/>
      </c>
    </row>
    <row r="35" customFormat="false" ht="15" hidden="false" customHeight="false" outlineLevel="0" collapsed="false">
      <c r="A35" s="10"/>
      <c r="B35" s="13" t="str">
        <f aca="false">IF(A35="","",IFERROR(INDEX(Ana_Malzeme!$B$5:$B$204,MATCH(A35,Ana_Malzeme!$A$5:$A$204,0)),"KATALOGDA YOK"))</f>
        <v/>
      </c>
      <c r="C35" s="13" t="str">
        <f aca="false">IF(A35="","",IFERROR(INDEX(Ana_Malzeme!$D$5:$D$204,MATCH(A35,Ana_Malzeme!$A$5:$A$204,0)),""))</f>
        <v/>
      </c>
      <c r="D35" s="14"/>
      <c r="E35" s="10"/>
      <c r="F35" s="15" t="str">
        <f aca="false">IF(OR(A35="",D35=""),"",D35*IFERROR(INDEX(Kur!$B$5:$B$7,MATCH(E35,Kur!$A$5:$A$7,0)),0))</f>
        <v/>
      </c>
      <c r="G35" s="16"/>
      <c r="H35" s="10"/>
      <c r="I35" s="13" t="str">
        <f aca="false">IF(A35="","",IF(D35="","FİYAT GİRİLMEMİŞ",IF(B35="KATALOGDA YOK","KATALOGDA YOK","Tamam")))</f>
        <v/>
      </c>
    </row>
    <row r="36" customFormat="false" ht="15" hidden="false" customHeight="false" outlineLevel="0" collapsed="false">
      <c r="A36" s="10"/>
      <c r="B36" s="13" t="str">
        <f aca="false">IF(A36="","",IFERROR(INDEX(Ana_Malzeme!$B$5:$B$204,MATCH(A36,Ana_Malzeme!$A$5:$A$204,0)),"KATALOGDA YOK"))</f>
        <v/>
      </c>
      <c r="C36" s="13" t="str">
        <f aca="false">IF(A36="","",IFERROR(INDEX(Ana_Malzeme!$D$5:$D$204,MATCH(A36,Ana_Malzeme!$A$5:$A$204,0)),""))</f>
        <v/>
      </c>
      <c r="D36" s="14"/>
      <c r="E36" s="10"/>
      <c r="F36" s="15" t="str">
        <f aca="false">IF(OR(A36="",D36=""),"",D36*IFERROR(INDEX(Kur!$B$5:$B$7,MATCH(E36,Kur!$A$5:$A$7,0)),0))</f>
        <v/>
      </c>
      <c r="G36" s="16"/>
      <c r="H36" s="10"/>
      <c r="I36" s="13" t="str">
        <f aca="false">IF(A36="","",IF(D36="","FİYAT GİRİLMEMİŞ",IF(B36="KATALOGDA YOK","KATALOGDA YOK","Tamam")))</f>
        <v/>
      </c>
    </row>
    <row r="37" customFormat="false" ht="15" hidden="false" customHeight="false" outlineLevel="0" collapsed="false">
      <c r="A37" s="10"/>
      <c r="B37" s="13" t="str">
        <f aca="false">IF(A37="","",IFERROR(INDEX(Ana_Malzeme!$B$5:$B$204,MATCH(A37,Ana_Malzeme!$A$5:$A$204,0)),"KATALOGDA YOK"))</f>
        <v/>
      </c>
      <c r="C37" s="13" t="str">
        <f aca="false">IF(A37="","",IFERROR(INDEX(Ana_Malzeme!$D$5:$D$204,MATCH(A37,Ana_Malzeme!$A$5:$A$204,0)),""))</f>
        <v/>
      </c>
      <c r="D37" s="14"/>
      <c r="E37" s="10"/>
      <c r="F37" s="15" t="str">
        <f aca="false">IF(OR(A37="",D37=""),"",D37*IFERROR(INDEX(Kur!$B$5:$B$7,MATCH(E37,Kur!$A$5:$A$7,0)),0))</f>
        <v/>
      </c>
      <c r="G37" s="16"/>
      <c r="H37" s="10"/>
      <c r="I37" s="13" t="str">
        <f aca="false">IF(A37="","",IF(D37="","FİYAT GİRİLMEMİŞ",IF(B37="KATALOGDA YOK","KATALOGDA YOK","Tamam")))</f>
        <v/>
      </c>
    </row>
    <row r="38" customFormat="false" ht="15" hidden="false" customHeight="false" outlineLevel="0" collapsed="false">
      <c r="A38" s="10"/>
      <c r="B38" s="13" t="str">
        <f aca="false">IF(A38="","",IFERROR(INDEX(Ana_Malzeme!$B$5:$B$204,MATCH(A38,Ana_Malzeme!$A$5:$A$204,0)),"KATALOGDA YOK"))</f>
        <v/>
      </c>
      <c r="C38" s="13" t="str">
        <f aca="false">IF(A38="","",IFERROR(INDEX(Ana_Malzeme!$D$5:$D$204,MATCH(A38,Ana_Malzeme!$A$5:$A$204,0)),""))</f>
        <v/>
      </c>
      <c r="D38" s="14"/>
      <c r="E38" s="10"/>
      <c r="F38" s="15" t="str">
        <f aca="false">IF(OR(A38="",D38=""),"",D38*IFERROR(INDEX(Kur!$B$5:$B$7,MATCH(E38,Kur!$A$5:$A$7,0)),0))</f>
        <v/>
      </c>
      <c r="G38" s="16"/>
      <c r="H38" s="10"/>
      <c r="I38" s="13" t="str">
        <f aca="false">IF(A38="","",IF(D38="","FİYAT GİRİLMEMİŞ",IF(B38="KATALOGDA YOK","KATALOGDA YOK","Tamam")))</f>
        <v/>
      </c>
    </row>
    <row r="39" customFormat="false" ht="15" hidden="false" customHeight="false" outlineLevel="0" collapsed="false">
      <c r="A39" s="10"/>
      <c r="B39" s="13" t="str">
        <f aca="false">IF(A39="","",IFERROR(INDEX(Ana_Malzeme!$B$5:$B$204,MATCH(A39,Ana_Malzeme!$A$5:$A$204,0)),"KATALOGDA YOK"))</f>
        <v/>
      </c>
      <c r="C39" s="13" t="str">
        <f aca="false">IF(A39="","",IFERROR(INDEX(Ana_Malzeme!$D$5:$D$204,MATCH(A39,Ana_Malzeme!$A$5:$A$204,0)),""))</f>
        <v/>
      </c>
      <c r="D39" s="14"/>
      <c r="E39" s="10"/>
      <c r="F39" s="15" t="str">
        <f aca="false">IF(OR(A39="",D39=""),"",D39*IFERROR(INDEX(Kur!$B$5:$B$7,MATCH(E39,Kur!$A$5:$A$7,0)),0))</f>
        <v/>
      </c>
      <c r="G39" s="16"/>
      <c r="H39" s="10"/>
      <c r="I39" s="13" t="str">
        <f aca="false">IF(A39="","",IF(D39="","FİYAT GİRİLMEMİŞ",IF(B39="KATALOGDA YOK","KATALOGDA YOK","Tamam")))</f>
        <v/>
      </c>
    </row>
    <row r="40" customFormat="false" ht="15" hidden="false" customHeight="false" outlineLevel="0" collapsed="false">
      <c r="A40" s="10"/>
      <c r="B40" s="13" t="str">
        <f aca="false">IF(A40="","",IFERROR(INDEX(Ana_Malzeme!$B$5:$B$204,MATCH(A40,Ana_Malzeme!$A$5:$A$204,0)),"KATALOGDA YOK"))</f>
        <v/>
      </c>
      <c r="C40" s="13" t="str">
        <f aca="false">IF(A40="","",IFERROR(INDEX(Ana_Malzeme!$D$5:$D$204,MATCH(A40,Ana_Malzeme!$A$5:$A$204,0)),""))</f>
        <v/>
      </c>
      <c r="D40" s="14"/>
      <c r="E40" s="10"/>
      <c r="F40" s="15" t="str">
        <f aca="false">IF(OR(A40="",D40=""),"",D40*IFERROR(INDEX(Kur!$B$5:$B$7,MATCH(E40,Kur!$A$5:$A$7,0)),0))</f>
        <v/>
      </c>
      <c r="G40" s="16"/>
      <c r="H40" s="10"/>
      <c r="I40" s="13" t="str">
        <f aca="false">IF(A40="","",IF(D40="","FİYAT GİRİLMEMİŞ",IF(B40="KATALOGDA YOK","KATALOGDA YOK","Tamam")))</f>
        <v/>
      </c>
    </row>
    <row r="41" customFormat="false" ht="15" hidden="false" customHeight="false" outlineLevel="0" collapsed="false">
      <c r="A41" s="10"/>
      <c r="B41" s="13" t="str">
        <f aca="false">IF(A41="","",IFERROR(INDEX(Ana_Malzeme!$B$5:$B$204,MATCH(A41,Ana_Malzeme!$A$5:$A$204,0)),"KATALOGDA YOK"))</f>
        <v/>
      </c>
      <c r="C41" s="13" t="str">
        <f aca="false">IF(A41="","",IFERROR(INDEX(Ana_Malzeme!$D$5:$D$204,MATCH(A41,Ana_Malzeme!$A$5:$A$204,0)),""))</f>
        <v/>
      </c>
      <c r="D41" s="14"/>
      <c r="E41" s="10"/>
      <c r="F41" s="15" t="str">
        <f aca="false">IF(OR(A41="",D41=""),"",D41*IFERROR(INDEX(Kur!$B$5:$B$7,MATCH(E41,Kur!$A$5:$A$7,0)),0))</f>
        <v/>
      </c>
      <c r="G41" s="16"/>
      <c r="H41" s="10"/>
      <c r="I41" s="13" t="str">
        <f aca="false">IF(A41="","",IF(D41="","FİYAT GİRİLMEMİŞ",IF(B41="KATALOGDA YOK","KATALOGDA YOK","Tamam")))</f>
        <v/>
      </c>
    </row>
    <row r="42" customFormat="false" ht="15" hidden="false" customHeight="false" outlineLevel="0" collapsed="false">
      <c r="A42" s="10"/>
      <c r="B42" s="13" t="str">
        <f aca="false">IF(A42="","",IFERROR(INDEX(Ana_Malzeme!$B$5:$B$204,MATCH(A42,Ana_Malzeme!$A$5:$A$204,0)),"KATALOGDA YOK"))</f>
        <v/>
      </c>
      <c r="C42" s="13" t="str">
        <f aca="false">IF(A42="","",IFERROR(INDEX(Ana_Malzeme!$D$5:$D$204,MATCH(A42,Ana_Malzeme!$A$5:$A$204,0)),""))</f>
        <v/>
      </c>
      <c r="D42" s="14"/>
      <c r="E42" s="10"/>
      <c r="F42" s="15" t="str">
        <f aca="false">IF(OR(A42="",D42=""),"",D42*IFERROR(INDEX(Kur!$B$5:$B$7,MATCH(E42,Kur!$A$5:$A$7,0)),0))</f>
        <v/>
      </c>
      <c r="G42" s="16"/>
      <c r="H42" s="10"/>
      <c r="I42" s="13" t="str">
        <f aca="false">IF(A42="","",IF(D42="","FİYAT GİRİLMEMİŞ",IF(B42="KATALOGDA YOK","KATALOGDA YOK","Tamam")))</f>
        <v/>
      </c>
    </row>
    <row r="43" customFormat="false" ht="15" hidden="false" customHeight="false" outlineLevel="0" collapsed="false">
      <c r="A43" s="10"/>
      <c r="B43" s="13" t="str">
        <f aca="false">IF(A43="","",IFERROR(INDEX(Ana_Malzeme!$B$5:$B$204,MATCH(A43,Ana_Malzeme!$A$5:$A$204,0)),"KATALOGDA YOK"))</f>
        <v/>
      </c>
      <c r="C43" s="13" t="str">
        <f aca="false">IF(A43="","",IFERROR(INDEX(Ana_Malzeme!$D$5:$D$204,MATCH(A43,Ana_Malzeme!$A$5:$A$204,0)),""))</f>
        <v/>
      </c>
      <c r="D43" s="14"/>
      <c r="E43" s="10"/>
      <c r="F43" s="15" t="str">
        <f aca="false">IF(OR(A43="",D43=""),"",D43*IFERROR(INDEX(Kur!$B$5:$B$7,MATCH(E43,Kur!$A$5:$A$7,0)),0))</f>
        <v/>
      </c>
      <c r="G43" s="16"/>
      <c r="H43" s="10"/>
      <c r="I43" s="13" t="str">
        <f aca="false">IF(A43="","",IF(D43="","FİYAT GİRİLMEMİŞ",IF(B43="KATALOGDA YOK","KATALOGDA YOK","Tamam")))</f>
        <v/>
      </c>
    </row>
    <row r="44" customFormat="false" ht="15" hidden="false" customHeight="false" outlineLevel="0" collapsed="false">
      <c r="A44" s="10"/>
      <c r="B44" s="13" t="str">
        <f aca="false">IF(A44="","",IFERROR(INDEX(Ana_Malzeme!$B$5:$B$204,MATCH(A44,Ana_Malzeme!$A$5:$A$204,0)),"KATALOGDA YOK"))</f>
        <v/>
      </c>
      <c r="C44" s="13" t="str">
        <f aca="false">IF(A44="","",IFERROR(INDEX(Ana_Malzeme!$D$5:$D$204,MATCH(A44,Ana_Malzeme!$A$5:$A$204,0)),""))</f>
        <v/>
      </c>
      <c r="D44" s="14"/>
      <c r="E44" s="10"/>
      <c r="F44" s="15" t="str">
        <f aca="false">IF(OR(A44="",D44=""),"",D44*IFERROR(INDEX(Kur!$B$5:$B$7,MATCH(E44,Kur!$A$5:$A$7,0)),0))</f>
        <v/>
      </c>
      <c r="G44" s="16"/>
      <c r="H44" s="10"/>
      <c r="I44" s="13" t="str">
        <f aca="false">IF(A44="","",IF(D44="","FİYAT GİRİLMEMİŞ",IF(B44="KATALOGDA YOK","KATALOGDA YOK","Tamam")))</f>
        <v/>
      </c>
    </row>
    <row r="45" customFormat="false" ht="15" hidden="false" customHeight="false" outlineLevel="0" collapsed="false">
      <c r="A45" s="10"/>
      <c r="B45" s="13" t="str">
        <f aca="false">IF(A45="","",IFERROR(INDEX(Ana_Malzeme!$B$5:$B$204,MATCH(A45,Ana_Malzeme!$A$5:$A$204,0)),"KATALOGDA YOK"))</f>
        <v/>
      </c>
      <c r="C45" s="13" t="str">
        <f aca="false">IF(A45="","",IFERROR(INDEX(Ana_Malzeme!$D$5:$D$204,MATCH(A45,Ana_Malzeme!$A$5:$A$204,0)),""))</f>
        <v/>
      </c>
      <c r="D45" s="14"/>
      <c r="E45" s="10"/>
      <c r="F45" s="15" t="str">
        <f aca="false">IF(OR(A45="",D45=""),"",D45*IFERROR(INDEX(Kur!$B$5:$B$7,MATCH(E45,Kur!$A$5:$A$7,0)),0))</f>
        <v/>
      </c>
      <c r="G45" s="16"/>
      <c r="H45" s="10"/>
      <c r="I45" s="13" t="str">
        <f aca="false">IF(A45="","",IF(D45="","FİYAT GİRİLMEMİŞ",IF(B45="KATALOGDA YOK","KATALOGDA YOK","Tamam")))</f>
        <v/>
      </c>
    </row>
    <row r="46" customFormat="false" ht="15" hidden="false" customHeight="false" outlineLevel="0" collapsed="false">
      <c r="A46" s="10"/>
      <c r="B46" s="13" t="str">
        <f aca="false">IF(A46="","",IFERROR(INDEX(Ana_Malzeme!$B$5:$B$204,MATCH(A46,Ana_Malzeme!$A$5:$A$204,0)),"KATALOGDA YOK"))</f>
        <v/>
      </c>
      <c r="C46" s="13" t="str">
        <f aca="false">IF(A46="","",IFERROR(INDEX(Ana_Malzeme!$D$5:$D$204,MATCH(A46,Ana_Malzeme!$A$5:$A$204,0)),""))</f>
        <v/>
      </c>
      <c r="D46" s="14"/>
      <c r="E46" s="10"/>
      <c r="F46" s="15" t="str">
        <f aca="false">IF(OR(A46="",D46=""),"",D46*IFERROR(INDEX(Kur!$B$5:$B$7,MATCH(E46,Kur!$A$5:$A$7,0)),0))</f>
        <v/>
      </c>
      <c r="G46" s="16"/>
      <c r="H46" s="10"/>
      <c r="I46" s="13" t="str">
        <f aca="false">IF(A46="","",IF(D46="","FİYAT GİRİLMEMİŞ",IF(B46="KATALOGDA YOK","KATALOGDA YOK","Tamam")))</f>
        <v/>
      </c>
    </row>
    <row r="47" customFormat="false" ht="15" hidden="false" customHeight="false" outlineLevel="0" collapsed="false">
      <c r="A47" s="10"/>
      <c r="B47" s="13" t="str">
        <f aca="false">IF(A47="","",IFERROR(INDEX(Ana_Malzeme!$B$5:$B$204,MATCH(A47,Ana_Malzeme!$A$5:$A$204,0)),"KATALOGDA YOK"))</f>
        <v/>
      </c>
      <c r="C47" s="13" t="str">
        <f aca="false">IF(A47="","",IFERROR(INDEX(Ana_Malzeme!$D$5:$D$204,MATCH(A47,Ana_Malzeme!$A$5:$A$204,0)),""))</f>
        <v/>
      </c>
      <c r="D47" s="14"/>
      <c r="E47" s="10"/>
      <c r="F47" s="15" t="str">
        <f aca="false">IF(OR(A47="",D47=""),"",D47*IFERROR(INDEX(Kur!$B$5:$B$7,MATCH(E47,Kur!$A$5:$A$7,0)),0))</f>
        <v/>
      </c>
      <c r="G47" s="16"/>
      <c r="H47" s="10"/>
      <c r="I47" s="13" t="str">
        <f aca="false">IF(A47="","",IF(D47="","FİYAT GİRİLMEMİŞ",IF(B47="KATALOGDA YOK","KATALOGDA YOK","Tamam")))</f>
        <v/>
      </c>
    </row>
    <row r="48" customFormat="false" ht="15" hidden="false" customHeight="false" outlineLevel="0" collapsed="false">
      <c r="A48" s="10"/>
      <c r="B48" s="13" t="str">
        <f aca="false">IF(A48="","",IFERROR(INDEX(Ana_Malzeme!$B$5:$B$204,MATCH(A48,Ana_Malzeme!$A$5:$A$204,0)),"KATALOGDA YOK"))</f>
        <v/>
      </c>
      <c r="C48" s="13" t="str">
        <f aca="false">IF(A48="","",IFERROR(INDEX(Ana_Malzeme!$D$5:$D$204,MATCH(A48,Ana_Malzeme!$A$5:$A$204,0)),""))</f>
        <v/>
      </c>
      <c r="D48" s="14"/>
      <c r="E48" s="10"/>
      <c r="F48" s="15" t="str">
        <f aca="false">IF(OR(A48="",D48=""),"",D48*IFERROR(INDEX(Kur!$B$5:$B$7,MATCH(E48,Kur!$A$5:$A$7,0)),0))</f>
        <v/>
      </c>
      <c r="G48" s="16"/>
      <c r="H48" s="10"/>
      <c r="I48" s="13" t="str">
        <f aca="false">IF(A48="","",IF(D48="","FİYAT GİRİLMEMİŞ",IF(B48="KATALOGDA YOK","KATALOGDA YOK","Tamam")))</f>
        <v/>
      </c>
    </row>
    <row r="49" customFormat="false" ht="15" hidden="false" customHeight="false" outlineLevel="0" collapsed="false">
      <c r="A49" s="10"/>
      <c r="B49" s="13" t="str">
        <f aca="false">IF(A49="","",IFERROR(INDEX(Ana_Malzeme!$B$5:$B$204,MATCH(A49,Ana_Malzeme!$A$5:$A$204,0)),"KATALOGDA YOK"))</f>
        <v/>
      </c>
      <c r="C49" s="13" t="str">
        <f aca="false">IF(A49="","",IFERROR(INDEX(Ana_Malzeme!$D$5:$D$204,MATCH(A49,Ana_Malzeme!$A$5:$A$204,0)),""))</f>
        <v/>
      </c>
      <c r="D49" s="14"/>
      <c r="E49" s="10"/>
      <c r="F49" s="15" t="str">
        <f aca="false">IF(OR(A49="",D49=""),"",D49*IFERROR(INDEX(Kur!$B$5:$B$7,MATCH(E49,Kur!$A$5:$A$7,0)),0))</f>
        <v/>
      </c>
      <c r="G49" s="16"/>
      <c r="H49" s="10"/>
      <c r="I49" s="13" t="str">
        <f aca="false">IF(A49="","",IF(D49="","FİYAT GİRİLMEMİŞ",IF(B49="KATALOGDA YOK","KATALOGDA YOK","Tamam")))</f>
        <v/>
      </c>
    </row>
    <row r="50" customFormat="false" ht="15" hidden="false" customHeight="false" outlineLevel="0" collapsed="false">
      <c r="A50" s="10"/>
      <c r="B50" s="13" t="str">
        <f aca="false">IF(A50="","",IFERROR(INDEX(Ana_Malzeme!$B$5:$B$204,MATCH(A50,Ana_Malzeme!$A$5:$A$204,0)),"KATALOGDA YOK"))</f>
        <v/>
      </c>
      <c r="C50" s="13" t="str">
        <f aca="false">IF(A50="","",IFERROR(INDEX(Ana_Malzeme!$D$5:$D$204,MATCH(A50,Ana_Malzeme!$A$5:$A$204,0)),""))</f>
        <v/>
      </c>
      <c r="D50" s="14"/>
      <c r="E50" s="10"/>
      <c r="F50" s="15" t="str">
        <f aca="false">IF(OR(A50="",D50=""),"",D50*IFERROR(INDEX(Kur!$B$5:$B$7,MATCH(E50,Kur!$A$5:$A$7,0)),0))</f>
        <v/>
      </c>
      <c r="G50" s="16"/>
      <c r="H50" s="10"/>
      <c r="I50" s="13" t="str">
        <f aca="false">IF(A50="","",IF(D50="","FİYAT GİRİLMEMİŞ",IF(B50="KATALOGDA YOK","KATALOGDA YOK","Tamam")))</f>
        <v/>
      </c>
    </row>
    <row r="51" customFormat="false" ht="15" hidden="false" customHeight="false" outlineLevel="0" collapsed="false">
      <c r="A51" s="10"/>
      <c r="B51" s="13" t="str">
        <f aca="false">IF(A51="","",IFERROR(INDEX(Ana_Malzeme!$B$5:$B$204,MATCH(A51,Ana_Malzeme!$A$5:$A$204,0)),"KATALOGDA YOK"))</f>
        <v/>
      </c>
      <c r="C51" s="13" t="str">
        <f aca="false">IF(A51="","",IFERROR(INDEX(Ana_Malzeme!$D$5:$D$204,MATCH(A51,Ana_Malzeme!$A$5:$A$204,0)),""))</f>
        <v/>
      </c>
      <c r="D51" s="14"/>
      <c r="E51" s="10"/>
      <c r="F51" s="15" t="str">
        <f aca="false">IF(OR(A51="",D51=""),"",D51*IFERROR(INDEX(Kur!$B$5:$B$7,MATCH(E51,Kur!$A$5:$A$7,0)),0))</f>
        <v/>
      </c>
      <c r="G51" s="16"/>
      <c r="H51" s="10"/>
      <c r="I51" s="13" t="str">
        <f aca="false">IF(A51="","",IF(D51="","FİYAT GİRİLMEMİŞ",IF(B51="KATALOGDA YOK","KATALOGDA YOK","Tamam")))</f>
        <v/>
      </c>
    </row>
    <row r="52" customFormat="false" ht="15" hidden="false" customHeight="false" outlineLevel="0" collapsed="false">
      <c r="A52" s="10"/>
      <c r="B52" s="13" t="str">
        <f aca="false">IF(A52="","",IFERROR(INDEX(Ana_Malzeme!$B$5:$B$204,MATCH(A52,Ana_Malzeme!$A$5:$A$204,0)),"KATALOGDA YOK"))</f>
        <v/>
      </c>
      <c r="C52" s="13" t="str">
        <f aca="false">IF(A52="","",IFERROR(INDEX(Ana_Malzeme!$D$5:$D$204,MATCH(A52,Ana_Malzeme!$A$5:$A$204,0)),""))</f>
        <v/>
      </c>
      <c r="D52" s="14"/>
      <c r="E52" s="10"/>
      <c r="F52" s="15" t="str">
        <f aca="false">IF(OR(A52="",D52=""),"",D52*IFERROR(INDEX(Kur!$B$5:$B$7,MATCH(E52,Kur!$A$5:$A$7,0)),0))</f>
        <v/>
      </c>
      <c r="G52" s="16"/>
      <c r="H52" s="10"/>
      <c r="I52" s="13" t="str">
        <f aca="false">IF(A52="","",IF(D52="","FİYAT GİRİLMEMİŞ",IF(B52="KATALOGDA YOK","KATALOGDA YOK","Tamam")))</f>
        <v/>
      </c>
    </row>
    <row r="53" customFormat="false" ht="15" hidden="false" customHeight="false" outlineLevel="0" collapsed="false">
      <c r="A53" s="10"/>
      <c r="B53" s="13" t="str">
        <f aca="false">IF(A53="","",IFERROR(INDEX(Ana_Malzeme!$B$5:$B$204,MATCH(A53,Ana_Malzeme!$A$5:$A$204,0)),"KATALOGDA YOK"))</f>
        <v/>
      </c>
      <c r="C53" s="13" t="str">
        <f aca="false">IF(A53="","",IFERROR(INDEX(Ana_Malzeme!$D$5:$D$204,MATCH(A53,Ana_Malzeme!$A$5:$A$204,0)),""))</f>
        <v/>
      </c>
      <c r="D53" s="14"/>
      <c r="E53" s="10"/>
      <c r="F53" s="15" t="str">
        <f aca="false">IF(OR(A53="",D53=""),"",D53*IFERROR(INDEX(Kur!$B$5:$B$7,MATCH(E53,Kur!$A$5:$A$7,0)),0))</f>
        <v/>
      </c>
      <c r="G53" s="16"/>
      <c r="H53" s="10"/>
      <c r="I53" s="13" t="str">
        <f aca="false">IF(A53="","",IF(D53="","FİYAT GİRİLMEMİŞ",IF(B53="KATALOGDA YOK","KATALOGDA YOK","Tamam")))</f>
        <v/>
      </c>
    </row>
    <row r="54" customFormat="false" ht="15" hidden="false" customHeight="false" outlineLevel="0" collapsed="false">
      <c r="A54" s="10"/>
      <c r="B54" s="13" t="str">
        <f aca="false">IF(A54="","",IFERROR(INDEX(Ana_Malzeme!$B$5:$B$204,MATCH(A54,Ana_Malzeme!$A$5:$A$204,0)),"KATALOGDA YOK"))</f>
        <v/>
      </c>
      <c r="C54" s="13" t="str">
        <f aca="false">IF(A54="","",IFERROR(INDEX(Ana_Malzeme!$D$5:$D$204,MATCH(A54,Ana_Malzeme!$A$5:$A$204,0)),""))</f>
        <v/>
      </c>
      <c r="D54" s="14"/>
      <c r="E54" s="10"/>
      <c r="F54" s="15" t="str">
        <f aca="false">IF(OR(A54="",D54=""),"",D54*IFERROR(INDEX(Kur!$B$5:$B$7,MATCH(E54,Kur!$A$5:$A$7,0)),0))</f>
        <v/>
      </c>
      <c r="G54" s="16"/>
      <c r="H54" s="10"/>
      <c r="I54" s="13" t="str">
        <f aca="false">IF(A54="","",IF(D54="","FİYAT GİRİLMEMİŞ",IF(B54="KATALOGDA YOK","KATALOGDA YOK","Tamam")))</f>
        <v/>
      </c>
    </row>
    <row r="55" customFormat="false" ht="15" hidden="false" customHeight="false" outlineLevel="0" collapsed="false">
      <c r="A55" s="10"/>
      <c r="B55" s="13" t="str">
        <f aca="false">IF(A55="","",IFERROR(INDEX(Ana_Malzeme!$B$5:$B$204,MATCH(A55,Ana_Malzeme!$A$5:$A$204,0)),"KATALOGDA YOK"))</f>
        <v/>
      </c>
      <c r="C55" s="13" t="str">
        <f aca="false">IF(A55="","",IFERROR(INDEX(Ana_Malzeme!$D$5:$D$204,MATCH(A55,Ana_Malzeme!$A$5:$A$204,0)),""))</f>
        <v/>
      </c>
      <c r="D55" s="14"/>
      <c r="E55" s="10"/>
      <c r="F55" s="15" t="str">
        <f aca="false">IF(OR(A55="",D55=""),"",D55*IFERROR(INDEX(Kur!$B$5:$B$7,MATCH(E55,Kur!$A$5:$A$7,0)),0))</f>
        <v/>
      </c>
      <c r="G55" s="16"/>
      <c r="H55" s="10"/>
      <c r="I55" s="13" t="str">
        <f aca="false">IF(A55="","",IF(D55="","FİYAT GİRİLMEMİŞ",IF(B55="KATALOGDA YOK","KATALOGDA YOK","Tamam")))</f>
        <v/>
      </c>
    </row>
    <row r="56" customFormat="false" ht="15" hidden="false" customHeight="false" outlineLevel="0" collapsed="false">
      <c r="A56" s="10"/>
      <c r="B56" s="13" t="str">
        <f aca="false">IF(A56="","",IFERROR(INDEX(Ana_Malzeme!$B$5:$B$204,MATCH(A56,Ana_Malzeme!$A$5:$A$204,0)),"KATALOGDA YOK"))</f>
        <v/>
      </c>
      <c r="C56" s="13" t="str">
        <f aca="false">IF(A56="","",IFERROR(INDEX(Ana_Malzeme!$D$5:$D$204,MATCH(A56,Ana_Malzeme!$A$5:$A$204,0)),""))</f>
        <v/>
      </c>
      <c r="D56" s="14"/>
      <c r="E56" s="10"/>
      <c r="F56" s="15" t="str">
        <f aca="false">IF(OR(A56="",D56=""),"",D56*IFERROR(INDEX(Kur!$B$5:$B$7,MATCH(E56,Kur!$A$5:$A$7,0)),0))</f>
        <v/>
      </c>
      <c r="G56" s="16"/>
      <c r="H56" s="10"/>
      <c r="I56" s="13" t="str">
        <f aca="false">IF(A56="","",IF(D56="","FİYAT GİRİLMEMİŞ",IF(B56="KATALOGDA YOK","KATALOGDA YOK","Tamam")))</f>
        <v/>
      </c>
    </row>
    <row r="57" customFormat="false" ht="15" hidden="false" customHeight="false" outlineLevel="0" collapsed="false">
      <c r="A57" s="10"/>
      <c r="B57" s="13" t="str">
        <f aca="false">IF(A57="","",IFERROR(INDEX(Ana_Malzeme!$B$5:$B$204,MATCH(A57,Ana_Malzeme!$A$5:$A$204,0)),"KATALOGDA YOK"))</f>
        <v/>
      </c>
      <c r="C57" s="13" t="str">
        <f aca="false">IF(A57="","",IFERROR(INDEX(Ana_Malzeme!$D$5:$D$204,MATCH(A57,Ana_Malzeme!$A$5:$A$204,0)),""))</f>
        <v/>
      </c>
      <c r="D57" s="14"/>
      <c r="E57" s="10"/>
      <c r="F57" s="15" t="str">
        <f aca="false">IF(OR(A57="",D57=""),"",D57*IFERROR(INDEX(Kur!$B$5:$B$7,MATCH(E57,Kur!$A$5:$A$7,0)),0))</f>
        <v/>
      </c>
      <c r="G57" s="16"/>
      <c r="H57" s="10"/>
      <c r="I57" s="13" t="str">
        <f aca="false">IF(A57="","",IF(D57="","FİYAT GİRİLMEMİŞ",IF(B57="KATALOGDA YOK","KATALOGDA YOK","Tamam")))</f>
        <v/>
      </c>
    </row>
    <row r="58" customFormat="false" ht="15" hidden="false" customHeight="false" outlineLevel="0" collapsed="false">
      <c r="A58" s="10"/>
      <c r="B58" s="13" t="str">
        <f aca="false">IF(A58="","",IFERROR(INDEX(Ana_Malzeme!$B$5:$B$204,MATCH(A58,Ana_Malzeme!$A$5:$A$204,0)),"KATALOGDA YOK"))</f>
        <v/>
      </c>
      <c r="C58" s="13" t="str">
        <f aca="false">IF(A58="","",IFERROR(INDEX(Ana_Malzeme!$D$5:$D$204,MATCH(A58,Ana_Malzeme!$A$5:$A$204,0)),""))</f>
        <v/>
      </c>
      <c r="D58" s="14"/>
      <c r="E58" s="10"/>
      <c r="F58" s="15" t="str">
        <f aca="false">IF(OR(A58="",D58=""),"",D58*IFERROR(INDEX(Kur!$B$5:$B$7,MATCH(E58,Kur!$A$5:$A$7,0)),0))</f>
        <v/>
      </c>
      <c r="G58" s="16"/>
      <c r="H58" s="10"/>
      <c r="I58" s="13" t="str">
        <f aca="false">IF(A58="","",IF(D58="","FİYAT GİRİLMEMİŞ",IF(B58="KATALOGDA YOK","KATALOGDA YOK","Tamam")))</f>
        <v/>
      </c>
    </row>
    <row r="59" customFormat="false" ht="15" hidden="false" customHeight="false" outlineLevel="0" collapsed="false">
      <c r="A59" s="10"/>
      <c r="B59" s="13" t="str">
        <f aca="false">IF(A59="","",IFERROR(INDEX(Ana_Malzeme!$B$5:$B$204,MATCH(A59,Ana_Malzeme!$A$5:$A$204,0)),"KATALOGDA YOK"))</f>
        <v/>
      </c>
      <c r="C59" s="13" t="str">
        <f aca="false">IF(A59="","",IFERROR(INDEX(Ana_Malzeme!$D$5:$D$204,MATCH(A59,Ana_Malzeme!$A$5:$A$204,0)),""))</f>
        <v/>
      </c>
      <c r="D59" s="14"/>
      <c r="E59" s="10"/>
      <c r="F59" s="15" t="str">
        <f aca="false">IF(OR(A59="",D59=""),"",D59*IFERROR(INDEX(Kur!$B$5:$B$7,MATCH(E59,Kur!$A$5:$A$7,0)),0))</f>
        <v/>
      </c>
      <c r="G59" s="16"/>
      <c r="H59" s="10"/>
      <c r="I59" s="13" t="str">
        <f aca="false">IF(A59="","",IF(D59="","FİYAT GİRİLMEMİŞ",IF(B59="KATALOGDA YOK","KATALOGDA YOK","Tamam")))</f>
        <v/>
      </c>
    </row>
    <row r="60" customFormat="false" ht="15" hidden="false" customHeight="false" outlineLevel="0" collapsed="false">
      <c r="A60" s="10"/>
      <c r="B60" s="13" t="str">
        <f aca="false">IF(A60="","",IFERROR(INDEX(Ana_Malzeme!$B$5:$B$204,MATCH(A60,Ana_Malzeme!$A$5:$A$204,0)),"KATALOGDA YOK"))</f>
        <v/>
      </c>
      <c r="C60" s="13" t="str">
        <f aca="false">IF(A60="","",IFERROR(INDEX(Ana_Malzeme!$D$5:$D$204,MATCH(A60,Ana_Malzeme!$A$5:$A$204,0)),""))</f>
        <v/>
      </c>
      <c r="D60" s="14"/>
      <c r="E60" s="10"/>
      <c r="F60" s="15" t="str">
        <f aca="false">IF(OR(A60="",D60=""),"",D60*IFERROR(INDEX(Kur!$B$5:$B$7,MATCH(E60,Kur!$A$5:$A$7,0)),0))</f>
        <v/>
      </c>
      <c r="G60" s="16"/>
      <c r="H60" s="10"/>
      <c r="I60" s="13" t="str">
        <f aca="false">IF(A60="","",IF(D60="","FİYAT GİRİLMEMİŞ",IF(B60="KATALOGDA YOK","KATALOGDA YOK","Tamam")))</f>
        <v/>
      </c>
    </row>
    <row r="61" customFormat="false" ht="15" hidden="false" customHeight="false" outlineLevel="0" collapsed="false">
      <c r="A61" s="10"/>
      <c r="B61" s="13" t="str">
        <f aca="false">IF(A61="","",IFERROR(INDEX(Ana_Malzeme!$B$5:$B$204,MATCH(A61,Ana_Malzeme!$A$5:$A$204,0)),"KATALOGDA YOK"))</f>
        <v/>
      </c>
      <c r="C61" s="13" t="str">
        <f aca="false">IF(A61="","",IFERROR(INDEX(Ana_Malzeme!$D$5:$D$204,MATCH(A61,Ana_Malzeme!$A$5:$A$204,0)),""))</f>
        <v/>
      </c>
      <c r="D61" s="14"/>
      <c r="E61" s="10"/>
      <c r="F61" s="15" t="str">
        <f aca="false">IF(OR(A61="",D61=""),"",D61*IFERROR(INDEX(Kur!$B$5:$B$7,MATCH(E61,Kur!$A$5:$A$7,0)),0))</f>
        <v/>
      </c>
      <c r="G61" s="16"/>
      <c r="H61" s="10"/>
      <c r="I61" s="13" t="str">
        <f aca="false">IF(A61="","",IF(D61="","FİYAT GİRİLMEMİŞ",IF(B61="KATALOGDA YOK","KATALOGDA YOK","Tamam")))</f>
        <v/>
      </c>
    </row>
    <row r="62" customFormat="false" ht="15" hidden="false" customHeight="false" outlineLevel="0" collapsed="false">
      <c r="A62" s="10"/>
      <c r="B62" s="13" t="str">
        <f aca="false">IF(A62="","",IFERROR(INDEX(Ana_Malzeme!$B$5:$B$204,MATCH(A62,Ana_Malzeme!$A$5:$A$204,0)),"KATALOGDA YOK"))</f>
        <v/>
      </c>
      <c r="C62" s="13" t="str">
        <f aca="false">IF(A62="","",IFERROR(INDEX(Ana_Malzeme!$D$5:$D$204,MATCH(A62,Ana_Malzeme!$A$5:$A$204,0)),""))</f>
        <v/>
      </c>
      <c r="D62" s="14"/>
      <c r="E62" s="10"/>
      <c r="F62" s="15" t="str">
        <f aca="false">IF(OR(A62="",D62=""),"",D62*IFERROR(INDEX(Kur!$B$5:$B$7,MATCH(E62,Kur!$A$5:$A$7,0)),0))</f>
        <v/>
      </c>
      <c r="G62" s="16"/>
      <c r="H62" s="10"/>
      <c r="I62" s="13" t="str">
        <f aca="false">IF(A62="","",IF(D62="","FİYAT GİRİLMEMİŞ",IF(B62="KATALOGDA YOK","KATALOGDA YOK","Tamam")))</f>
        <v/>
      </c>
    </row>
    <row r="63" customFormat="false" ht="15" hidden="false" customHeight="false" outlineLevel="0" collapsed="false">
      <c r="A63" s="10"/>
      <c r="B63" s="13" t="str">
        <f aca="false">IF(A63="","",IFERROR(INDEX(Ana_Malzeme!$B$5:$B$204,MATCH(A63,Ana_Malzeme!$A$5:$A$204,0)),"KATALOGDA YOK"))</f>
        <v/>
      </c>
      <c r="C63" s="13" t="str">
        <f aca="false">IF(A63="","",IFERROR(INDEX(Ana_Malzeme!$D$5:$D$204,MATCH(A63,Ana_Malzeme!$A$5:$A$204,0)),""))</f>
        <v/>
      </c>
      <c r="D63" s="14"/>
      <c r="E63" s="10"/>
      <c r="F63" s="15" t="str">
        <f aca="false">IF(OR(A63="",D63=""),"",D63*IFERROR(INDEX(Kur!$B$5:$B$7,MATCH(E63,Kur!$A$5:$A$7,0)),0))</f>
        <v/>
      </c>
      <c r="G63" s="16"/>
      <c r="H63" s="10"/>
      <c r="I63" s="13" t="str">
        <f aca="false">IF(A63="","",IF(D63="","FİYAT GİRİLMEMİŞ",IF(B63="KATALOGDA YOK","KATALOGDA YOK","Tamam")))</f>
        <v/>
      </c>
    </row>
    <row r="64" customFormat="false" ht="15" hidden="false" customHeight="false" outlineLevel="0" collapsed="false">
      <c r="A64" s="10"/>
      <c r="B64" s="13" t="str">
        <f aca="false">IF(A64="","",IFERROR(INDEX(Ana_Malzeme!$B$5:$B$204,MATCH(A64,Ana_Malzeme!$A$5:$A$204,0)),"KATALOGDA YOK"))</f>
        <v/>
      </c>
      <c r="C64" s="13" t="str">
        <f aca="false">IF(A64="","",IFERROR(INDEX(Ana_Malzeme!$D$5:$D$204,MATCH(A64,Ana_Malzeme!$A$5:$A$204,0)),""))</f>
        <v/>
      </c>
      <c r="D64" s="14"/>
      <c r="E64" s="10"/>
      <c r="F64" s="15" t="str">
        <f aca="false">IF(OR(A64="",D64=""),"",D64*IFERROR(INDEX(Kur!$B$5:$B$7,MATCH(E64,Kur!$A$5:$A$7,0)),0))</f>
        <v/>
      </c>
      <c r="G64" s="16"/>
      <c r="H64" s="10"/>
      <c r="I64" s="13" t="str">
        <f aca="false">IF(A64="","",IF(D64="","FİYAT GİRİLMEMİŞ",IF(B64="KATALOGDA YOK","KATALOGDA YOK","Tamam")))</f>
        <v/>
      </c>
    </row>
    <row r="65" customFormat="false" ht="15" hidden="false" customHeight="false" outlineLevel="0" collapsed="false">
      <c r="A65" s="10"/>
      <c r="B65" s="13" t="str">
        <f aca="false">IF(A65="","",IFERROR(INDEX(Ana_Malzeme!$B$5:$B$204,MATCH(A65,Ana_Malzeme!$A$5:$A$204,0)),"KATALOGDA YOK"))</f>
        <v/>
      </c>
      <c r="C65" s="13" t="str">
        <f aca="false">IF(A65="","",IFERROR(INDEX(Ana_Malzeme!$D$5:$D$204,MATCH(A65,Ana_Malzeme!$A$5:$A$204,0)),""))</f>
        <v/>
      </c>
      <c r="D65" s="14"/>
      <c r="E65" s="10"/>
      <c r="F65" s="15" t="str">
        <f aca="false">IF(OR(A65="",D65=""),"",D65*IFERROR(INDEX(Kur!$B$5:$B$7,MATCH(E65,Kur!$A$5:$A$7,0)),0))</f>
        <v/>
      </c>
      <c r="G65" s="16"/>
      <c r="H65" s="10"/>
      <c r="I65" s="13" t="str">
        <f aca="false">IF(A65="","",IF(D65="","FİYAT GİRİLMEMİŞ",IF(B65="KATALOGDA YOK","KATALOGDA YOK","Tamam")))</f>
        <v/>
      </c>
    </row>
    <row r="66" customFormat="false" ht="15" hidden="false" customHeight="false" outlineLevel="0" collapsed="false">
      <c r="A66" s="10"/>
      <c r="B66" s="13" t="str">
        <f aca="false">IF(A66="","",IFERROR(INDEX(Ana_Malzeme!$B$5:$B$204,MATCH(A66,Ana_Malzeme!$A$5:$A$204,0)),"KATALOGDA YOK"))</f>
        <v/>
      </c>
      <c r="C66" s="13" t="str">
        <f aca="false">IF(A66="","",IFERROR(INDEX(Ana_Malzeme!$D$5:$D$204,MATCH(A66,Ana_Malzeme!$A$5:$A$204,0)),""))</f>
        <v/>
      </c>
      <c r="D66" s="14"/>
      <c r="E66" s="10"/>
      <c r="F66" s="15" t="str">
        <f aca="false">IF(OR(A66="",D66=""),"",D66*IFERROR(INDEX(Kur!$B$5:$B$7,MATCH(E66,Kur!$A$5:$A$7,0)),0))</f>
        <v/>
      </c>
      <c r="G66" s="16"/>
      <c r="H66" s="10"/>
      <c r="I66" s="13" t="str">
        <f aca="false">IF(A66="","",IF(D66="","FİYAT GİRİLMEMİŞ",IF(B66="KATALOGDA YOK","KATALOGDA YOK","Tamam")))</f>
        <v/>
      </c>
    </row>
    <row r="67" customFormat="false" ht="15" hidden="false" customHeight="false" outlineLevel="0" collapsed="false">
      <c r="A67" s="10"/>
      <c r="B67" s="13" t="str">
        <f aca="false">IF(A67="","",IFERROR(INDEX(Ana_Malzeme!$B$5:$B$204,MATCH(A67,Ana_Malzeme!$A$5:$A$204,0)),"KATALOGDA YOK"))</f>
        <v/>
      </c>
      <c r="C67" s="13" t="str">
        <f aca="false">IF(A67="","",IFERROR(INDEX(Ana_Malzeme!$D$5:$D$204,MATCH(A67,Ana_Malzeme!$A$5:$A$204,0)),""))</f>
        <v/>
      </c>
      <c r="D67" s="14"/>
      <c r="E67" s="10"/>
      <c r="F67" s="15" t="str">
        <f aca="false">IF(OR(A67="",D67=""),"",D67*IFERROR(INDEX(Kur!$B$5:$B$7,MATCH(E67,Kur!$A$5:$A$7,0)),0))</f>
        <v/>
      </c>
      <c r="G67" s="16"/>
      <c r="H67" s="10"/>
      <c r="I67" s="13" t="str">
        <f aca="false">IF(A67="","",IF(D67="","FİYAT GİRİLMEMİŞ",IF(B67="KATALOGDA YOK","KATALOGDA YOK","Tamam")))</f>
        <v/>
      </c>
    </row>
    <row r="68" customFormat="false" ht="15" hidden="false" customHeight="false" outlineLevel="0" collapsed="false">
      <c r="A68" s="10"/>
      <c r="B68" s="13" t="str">
        <f aca="false">IF(A68="","",IFERROR(INDEX(Ana_Malzeme!$B$5:$B$204,MATCH(A68,Ana_Malzeme!$A$5:$A$204,0)),"KATALOGDA YOK"))</f>
        <v/>
      </c>
      <c r="C68" s="13" t="str">
        <f aca="false">IF(A68="","",IFERROR(INDEX(Ana_Malzeme!$D$5:$D$204,MATCH(A68,Ana_Malzeme!$A$5:$A$204,0)),""))</f>
        <v/>
      </c>
      <c r="D68" s="14"/>
      <c r="E68" s="10"/>
      <c r="F68" s="15" t="str">
        <f aca="false">IF(OR(A68="",D68=""),"",D68*IFERROR(INDEX(Kur!$B$5:$B$7,MATCH(E68,Kur!$A$5:$A$7,0)),0))</f>
        <v/>
      </c>
      <c r="G68" s="16"/>
      <c r="H68" s="10"/>
      <c r="I68" s="13" t="str">
        <f aca="false">IF(A68="","",IF(D68="","FİYAT GİRİLMEMİŞ",IF(B68="KATALOGDA YOK","KATALOGDA YOK","Tamam")))</f>
        <v/>
      </c>
    </row>
    <row r="69" customFormat="false" ht="15" hidden="false" customHeight="false" outlineLevel="0" collapsed="false">
      <c r="A69" s="10"/>
      <c r="B69" s="13" t="str">
        <f aca="false">IF(A69="","",IFERROR(INDEX(Ana_Malzeme!$B$5:$B$204,MATCH(A69,Ana_Malzeme!$A$5:$A$204,0)),"KATALOGDA YOK"))</f>
        <v/>
      </c>
      <c r="C69" s="13" t="str">
        <f aca="false">IF(A69="","",IFERROR(INDEX(Ana_Malzeme!$D$5:$D$204,MATCH(A69,Ana_Malzeme!$A$5:$A$204,0)),""))</f>
        <v/>
      </c>
      <c r="D69" s="14"/>
      <c r="E69" s="10"/>
      <c r="F69" s="15" t="str">
        <f aca="false">IF(OR(A69="",D69=""),"",D69*IFERROR(INDEX(Kur!$B$5:$B$7,MATCH(E69,Kur!$A$5:$A$7,0)),0))</f>
        <v/>
      </c>
      <c r="G69" s="16"/>
      <c r="H69" s="10"/>
      <c r="I69" s="13" t="str">
        <f aca="false">IF(A69="","",IF(D69="","FİYAT GİRİLMEMİŞ",IF(B69="KATALOGDA YOK","KATALOGDA YOK","Tamam")))</f>
        <v/>
      </c>
    </row>
    <row r="70" customFormat="false" ht="15" hidden="false" customHeight="false" outlineLevel="0" collapsed="false">
      <c r="A70" s="10"/>
      <c r="B70" s="13" t="str">
        <f aca="false">IF(A70="","",IFERROR(INDEX(Ana_Malzeme!$B$5:$B$204,MATCH(A70,Ana_Malzeme!$A$5:$A$204,0)),"KATALOGDA YOK"))</f>
        <v/>
      </c>
      <c r="C70" s="13" t="str">
        <f aca="false">IF(A70="","",IFERROR(INDEX(Ana_Malzeme!$D$5:$D$204,MATCH(A70,Ana_Malzeme!$A$5:$A$204,0)),""))</f>
        <v/>
      </c>
      <c r="D70" s="14"/>
      <c r="E70" s="10"/>
      <c r="F70" s="15" t="str">
        <f aca="false">IF(OR(A70="",D70=""),"",D70*IFERROR(INDEX(Kur!$B$5:$B$7,MATCH(E70,Kur!$A$5:$A$7,0)),0))</f>
        <v/>
      </c>
      <c r="G70" s="16"/>
      <c r="H70" s="10"/>
      <c r="I70" s="13" t="str">
        <f aca="false">IF(A70="","",IF(D70="","FİYAT GİRİLMEMİŞ",IF(B70="KATALOGDA YOK","KATALOGDA YOK","Tamam")))</f>
        <v/>
      </c>
    </row>
    <row r="71" customFormat="false" ht="15" hidden="false" customHeight="false" outlineLevel="0" collapsed="false">
      <c r="A71" s="10"/>
      <c r="B71" s="13" t="str">
        <f aca="false">IF(A71="","",IFERROR(INDEX(Ana_Malzeme!$B$5:$B$204,MATCH(A71,Ana_Malzeme!$A$5:$A$204,0)),"KATALOGDA YOK"))</f>
        <v/>
      </c>
      <c r="C71" s="13" t="str">
        <f aca="false">IF(A71="","",IFERROR(INDEX(Ana_Malzeme!$D$5:$D$204,MATCH(A71,Ana_Malzeme!$A$5:$A$204,0)),""))</f>
        <v/>
      </c>
      <c r="D71" s="14"/>
      <c r="E71" s="10"/>
      <c r="F71" s="15" t="str">
        <f aca="false">IF(OR(A71="",D71=""),"",D71*IFERROR(INDEX(Kur!$B$5:$B$7,MATCH(E71,Kur!$A$5:$A$7,0)),0))</f>
        <v/>
      </c>
      <c r="G71" s="16"/>
      <c r="H71" s="10"/>
      <c r="I71" s="13" t="str">
        <f aca="false">IF(A71="","",IF(D71="","FİYAT GİRİLMEMİŞ",IF(B71="KATALOGDA YOK","KATALOGDA YOK","Tamam")))</f>
        <v/>
      </c>
    </row>
    <row r="72" customFormat="false" ht="15" hidden="false" customHeight="false" outlineLevel="0" collapsed="false">
      <c r="A72" s="10"/>
      <c r="B72" s="13" t="str">
        <f aca="false">IF(A72="","",IFERROR(INDEX(Ana_Malzeme!$B$5:$B$204,MATCH(A72,Ana_Malzeme!$A$5:$A$204,0)),"KATALOGDA YOK"))</f>
        <v/>
      </c>
      <c r="C72" s="13" t="str">
        <f aca="false">IF(A72="","",IFERROR(INDEX(Ana_Malzeme!$D$5:$D$204,MATCH(A72,Ana_Malzeme!$A$5:$A$204,0)),""))</f>
        <v/>
      </c>
      <c r="D72" s="14"/>
      <c r="E72" s="10"/>
      <c r="F72" s="15" t="str">
        <f aca="false">IF(OR(A72="",D72=""),"",D72*IFERROR(INDEX(Kur!$B$5:$B$7,MATCH(E72,Kur!$A$5:$A$7,0)),0))</f>
        <v/>
      </c>
      <c r="G72" s="16"/>
      <c r="H72" s="10"/>
      <c r="I72" s="13" t="str">
        <f aca="false">IF(A72="","",IF(D72="","FİYAT GİRİLMEMİŞ",IF(B72="KATALOGDA YOK","KATALOGDA YOK","Tamam")))</f>
        <v/>
      </c>
    </row>
    <row r="73" customFormat="false" ht="15" hidden="false" customHeight="false" outlineLevel="0" collapsed="false">
      <c r="A73" s="10"/>
      <c r="B73" s="13" t="str">
        <f aca="false">IF(A73="","",IFERROR(INDEX(Ana_Malzeme!$B$5:$B$204,MATCH(A73,Ana_Malzeme!$A$5:$A$204,0)),"KATALOGDA YOK"))</f>
        <v/>
      </c>
      <c r="C73" s="13" t="str">
        <f aca="false">IF(A73="","",IFERROR(INDEX(Ana_Malzeme!$D$5:$D$204,MATCH(A73,Ana_Malzeme!$A$5:$A$204,0)),""))</f>
        <v/>
      </c>
      <c r="D73" s="14"/>
      <c r="E73" s="10"/>
      <c r="F73" s="15" t="str">
        <f aca="false">IF(OR(A73="",D73=""),"",D73*IFERROR(INDEX(Kur!$B$5:$B$7,MATCH(E73,Kur!$A$5:$A$7,0)),0))</f>
        <v/>
      </c>
      <c r="G73" s="16"/>
      <c r="H73" s="10"/>
      <c r="I73" s="13" t="str">
        <f aca="false">IF(A73="","",IF(D73="","FİYAT GİRİLMEMİŞ",IF(B73="KATALOGDA YOK","KATALOGDA YOK","Tamam")))</f>
        <v/>
      </c>
    </row>
    <row r="74" customFormat="false" ht="15" hidden="false" customHeight="false" outlineLevel="0" collapsed="false">
      <c r="A74" s="10"/>
      <c r="B74" s="13" t="str">
        <f aca="false">IF(A74="","",IFERROR(INDEX(Ana_Malzeme!$B$5:$B$204,MATCH(A74,Ana_Malzeme!$A$5:$A$204,0)),"KATALOGDA YOK"))</f>
        <v/>
      </c>
      <c r="C74" s="13" t="str">
        <f aca="false">IF(A74="","",IFERROR(INDEX(Ana_Malzeme!$D$5:$D$204,MATCH(A74,Ana_Malzeme!$A$5:$A$204,0)),""))</f>
        <v/>
      </c>
      <c r="D74" s="14"/>
      <c r="E74" s="10"/>
      <c r="F74" s="15" t="str">
        <f aca="false">IF(OR(A74="",D74=""),"",D74*IFERROR(INDEX(Kur!$B$5:$B$7,MATCH(E74,Kur!$A$5:$A$7,0)),0))</f>
        <v/>
      </c>
      <c r="G74" s="16"/>
      <c r="H74" s="10"/>
      <c r="I74" s="13" t="str">
        <f aca="false">IF(A74="","",IF(D74="","FİYAT GİRİLMEMİŞ",IF(B74="KATALOGDA YOK","KATALOGDA YOK","Tamam")))</f>
        <v/>
      </c>
    </row>
    <row r="75" customFormat="false" ht="15" hidden="false" customHeight="false" outlineLevel="0" collapsed="false">
      <c r="A75" s="10"/>
      <c r="B75" s="13" t="str">
        <f aca="false">IF(A75="","",IFERROR(INDEX(Ana_Malzeme!$B$5:$B$204,MATCH(A75,Ana_Malzeme!$A$5:$A$204,0)),"KATALOGDA YOK"))</f>
        <v/>
      </c>
      <c r="C75" s="13" t="str">
        <f aca="false">IF(A75="","",IFERROR(INDEX(Ana_Malzeme!$D$5:$D$204,MATCH(A75,Ana_Malzeme!$A$5:$A$204,0)),""))</f>
        <v/>
      </c>
      <c r="D75" s="14"/>
      <c r="E75" s="10"/>
      <c r="F75" s="15" t="str">
        <f aca="false">IF(OR(A75="",D75=""),"",D75*IFERROR(INDEX(Kur!$B$5:$B$7,MATCH(E75,Kur!$A$5:$A$7,0)),0))</f>
        <v/>
      </c>
      <c r="G75" s="16"/>
      <c r="H75" s="10"/>
      <c r="I75" s="13" t="str">
        <f aca="false">IF(A75="","",IF(D75="","FİYAT GİRİLMEMİŞ",IF(B75="KATALOGDA YOK","KATALOGDA YOK","Tamam")))</f>
        <v/>
      </c>
    </row>
    <row r="76" customFormat="false" ht="15" hidden="false" customHeight="false" outlineLevel="0" collapsed="false">
      <c r="A76" s="10"/>
      <c r="B76" s="13" t="str">
        <f aca="false">IF(A76="","",IFERROR(INDEX(Ana_Malzeme!$B$5:$B$204,MATCH(A76,Ana_Malzeme!$A$5:$A$204,0)),"KATALOGDA YOK"))</f>
        <v/>
      </c>
      <c r="C76" s="13" t="str">
        <f aca="false">IF(A76="","",IFERROR(INDEX(Ana_Malzeme!$D$5:$D$204,MATCH(A76,Ana_Malzeme!$A$5:$A$204,0)),""))</f>
        <v/>
      </c>
      <c r="D76" s="14"/>
      <c r="E76" s="10"/>
      <c r="F76" s="15" t="str">
        <f aca="false">IF(OR(A76="",D76=""),"",D76*IFERROR(INDEX(Kur!$B$5:$B$7,MATCH(E76,Kur!$A$5:$A$7,0)),0))</f>
        <v/>
      </c>
      <c r="G76" s="16"/>
      <c r="H76" s="10"/>
      <c r="I76" s="13" t="str">
        <f aca="false">IF(A76="","",IF(D76="","FİYAT GİRİLMEMİŞ",IF(B76="KATALOGDA YOK","KATALOGDA YOK","Tamam")))</f>
        <v/>
      </c>
    </row>
    <row r="77" customFormat="false" ht="15" hidden="false" customHeight="false" outlineLevel="0" collapsed="false">
      <c r="A77" s="10"/>
      <c r="B77" s="13" t="str">
        <f aca="false">IF(A77="","",IFERROR(INDEX(Ana_Malzeme!$B$5:$B$204,MATCH(A77,Ana_Malzeme!$A$5:$A$204,0)),"KATALOGDA YOK"))</f>
        <v/>
      </c>
      <c r="C77" s="13" t="str">
        <f aca="false">IF(A77="","",IFERROR(INDEX(Ana_Malzeme!$D$5:$D$204,MATCH(A77,Ana_Malzeme!$A$5:$A$204,0)),""))</f>
        <v/>
      </c>
      <c r="D77" s="14"/>
      <c r="E77" s="10"/>
      <c r="F77" s="15" t="str">
        <f aca="false">IF(OR(A77="",D77=""),"",D77*IFERROR(INDEX(Kur!$B$5:$B$7,MATCH(E77,Kur!$A$5:$A$7,0)),0))</f>
        <v/>
      </c>
      <c r="G77" s="16"/>
      <c r="H77" s="10"/>
      <c r="I77" s="13" t="str">
        <f aca="false">IF(A77="","",IF(D77="","FİYAT GİRİLMEMİŞ",IF(B77="KATALOGDA YOK","KATALOGDA YOK","Tamam")))</f>
        <v/>
      </c>
    </row>
    <row r="78" customFormat="false" ht="15" hidden="false" customHeight="false" outlineLevel="0" collapsed="false">
      <c r="A78" s="10"/>
      <c r="B78" s="13" t="str">
        <f aca="false">IF(A78="","",IFERROR(INDEX(Ana_Malzeme!$B$5:$B$204,MATCH(A78,Ana_Malzeme!$A$5:$A$204,0)),"KATALOGDA YOK"))</f>
        <v/>
      </c>
      <c r="C78" s="13" t="str">
        <f aca="false">IF(A78="","",IFERROR(INDEX(Ana_Malzeme!$D$5:$D$204,MATCH(A78,Ana_Malzeme!$A$5:$A$204,0)),""))</f>
        <v/>
      </c>
      <c r="D78" s="14"/>
      <c r="E78" s="10"/>
      <c r="F78" s="15" t="str">
        <f aca="false">IF(OR(A78="",D78=""),"",D78*IFERROR(INDEX(Kur!$B$5:$B$7,MATCH(E78,Kur!$A$5:$A$7,0)),0))</f>
        <v/>
      </c>
      <c r="G78" s="16"/>
      <c r="H78" s="10"/>
      <c r="I78" s="13" t="str">
        <f aca="false">IF(A78="","",IF(D78="","FİYAT GİRİLMEMİŞ",IF(B78="KATALOGDA YOK","KATALOGDA YOK","Tamam")))</f>
        <v/>
      </c>
    </row>
    <row r="79" customFormat="false" ht="15" hidden="false" customHeight="false" outlineLevel="0" collapsed="false">
      <c r="A79" s="10"/>
      <c r="B79" s="13" t="str">
        <f aca="false">IF(A79="","",IFERROR(INDEX(Ana_Malzeme!$B$5:$B$204,MATCH(A79,Ana_Malzeme!$A$5:$A$204,0)),"KATALOGDA YOK"))</f>
        <v/>
      </c>
      <c r="C79" s="13" t="str">
        <f aca="false">IF(A79="","",IFERROR(INDEX(Ana_Malzeme!$D$5:$D$204,MATCH(A79,Ana_Malzeme!$A$5:$A$204,0)),""))</f>
        <v/>
      </c>
      <c r="D79" s="14"/>
      <c r="E79" s="10"/>
      <c r="F79" s="15" t="str">
        <f aca="false">IF(OR(A79="",D79=""),"",D79*IFERROR(INDEX(Kur!$B$5:$B$7,MATCH(E79,Kur!$A$5:$A$7,0)),0))</f>
        <v/>
      </c>
      <c r="G79" s="16"/>
      <c r="H79" s="10"/>
      <c r="I79" s="13" t="str">
        <f aca="false">IF(A79="","",IF(D79="","FİYAT GİRİLMEMİŞ",IF(B79="KATALOGDA YOK","KATALOGDA YOK","Tamam")))</f>
        <v/>
      </c>
    </row>
    <row r="80" customFormat="false" ht="15" hidden="false" customHeight="false" outlineLevel="0" collapsed="false">
      <c r="A80" s="10"/>
      <c r="B80" s="13" t="str">
        <f aca="false">IF(A80="","",IFERROR(INDEX(Ana_Malzeme!$B$5:$B$204,MATCH(A80,Ana_Malzeme!$A$5:$A$204,0)),"KATALOGDA YOK"))</f>
        <v/>
      </c>
      <c r="C80" s="13" t="str">
        <f aca="false">IF(A80="","",IFERROR(INDEX(Ana_Malzeme!$D$5:$D$204,MATCH(A80,Ana_Malzeme!$A$5:$A$204,0)),""))</f>
        <v/>
      </c>
      <c r="D80" s="14"/>
      <c r="E80" s="10"/>
      <c r="F80" s="15" t="str">
        <f aca="false">IF(OR(A80="",D80=""),"",D80*IFERROR(INDEX(Kur!$B$5:$B$7,MATCH(E80,Kur!$A$5:$A$7,0)),0))</f>
        <v/>
      </c>
      <c r="G80" s="16"/>
      <c r="H80" s="10"/>
      <c r="I80" s="13" t="str">
        <f aca="false">IF(A80="","",IF(D80="","FİYAT GİRİLMEMİŞ",IF(B80="KATALOGDA YOK","KATALOGDA YOK","Tamam")))</f>
        <v/>
      </c>
    </row>
    <row r="81" customFormat="false" ht="15" hidden="false" customHeight="false" outlineLevel="0" collapsed="false">
      <c r="A81" s="10"/>
      <c r="B81" s="13" t="str">
        <f aca="false">IF(A81="","",IFERROR(INDEX(Ana_Malzeme!$B$5:$B$204,MATCH(A81,Ana_Malzeme!$A$5:$A$204,0)),"KATALOGDA YOK"))</f>
        <v/>
      </c>
      <c r="C81" s="13" t="str">
        <f aca="false">IF(A81="","",IFERROR(INDEX(Ana_Malzeme!$D$5:$D$204,MATCH(A81,Ana_Malzeme!$A$5:$A$204,0)),""))</f>
        <v/>
      </c>
      <c r="D81" s="14"/>
      <c r="E81" s="10"/>
      <c r="F81" s="15" t="str">
        <f aca="false">IF(OR(A81="",D81=""),"",D81*IFERROR(INDEX(Kur!$B$5:$B$7,MATCH(E81,Kur!$A$5:$A$7,0)),0))</f>
        <v/>
      </c>
      <c r="G81" s="16"/>
      <c r="H81" s="10"/>
      <c r="I81" s="13" t="str">
        <f aca="false">IF(A81="","",IF(D81="","FİYAT GİRİLMEMİŞ",IF(B81="KATALOGDA YOK","KATALOGDA YOK","Tamam")))</f>
        <v/>
      </c>
    </row>
    <row r="82" customFormat="false" ht="15" hidden="false" customHeight="false" outlineLevel="0" collapsed="false">
      <c r="A82" s="10"/>
      <c r="B82" s="13" t="str">
        <f aca="false">IF(A82="","",IFERROR(INDEX(Ana_Malzeme!$B$5:$B$204,MATCH(A82,Ana_Malzeme!$A$5:$A$204,0)),"KATALOGDA YOK"))</f>
        <v/>
      </c>
      <c r="C82" s="13" t="str">
        <f aca="false">IF(A82="","",IFERROR(INDEX(Ana_Malzeme!$D$5:$D$204,MATCH(A82,Ana_Malzeme!$A$5:$A$204,0)),""))</f>
        <v/>
      </c>
      <c r="D82" s="14"/>
      <c r="E82" s="10"/>
      <c r="F82" s="15" t="str">
        <f aca="false">IF(OR(A82="",D82=""),"",D82*IFERROR(INDEX(Kur!$B$5:$B$7,MATCH(E82,Kur!$A$5:$A$7,0)),0))</f>
        <v/>
      </c>
      <c r="G82" s="16"/>
      <c r="H82" s="10"/>
      <c r="I82" s="13" t="str">
        <f aca="false">IF(A82="","",IF(D82="","FİYAT GİRİLMEMİŞ",IF(B82="KATALOGDA YOK","KATALOGDA YOK","Tamam")))</f>
        <v/>
      </c>
    </row>
    <row r="83" customFormat="false" ht="15" hidden="false" customHeight="false" outlineLevel="0" collapsed="false">
      <c r="A83" s="10"/>
      <c r="B83" s="13" t="str">
        <f aca="false">IF(A83="","",IFERROR(INDEX(Ana_Malzeme!$B$5:$B$204,MATCH(A83,Ana_Malzeme!$A$5:$A$204,0)),"KATALOGDA YOK"))</f>
        <v/>
      </c>
      <c r="C83" s="13" t="str">
        <f aca="false">IF(A83="","",IFERROR(INDEX(Ana_Malzeme!$D$5:$D$204,MATCH(A83,Ana_Malzeme!$A$5:$A$204,0)),""))</f>
        <v/>
      </c>
      <c r="D83" s="14"/>
      <c r="E83" s="10"/>
      <c r="F83" s="15" t="str">
        <f aca="false">IF(OR(A83="",D83=""),"",D83*IFERROR(INDEX(Kur!$B$5:$B$7,MATCH(E83,Kur!$A$5:$A$7,0)),0))</f>
        <v/>
      </c>
      <c r="G83" s="16"/>
      <c r="H83" s="10"/>
      <c r="I83" s="13" t="str">
        <f aca="false">IF(A83="","",IF(D83="","FİYAT GİRİLMEMİŞ",IF(B83="KATALOGDA YOK","KATALOGDA YOK","Tamam")))</f>
        <v/>
      </c>
    </row>
    <row r="84" customFormat="false" ht="15" hidden="false" customHeight="false" outlineLevel="0" collapsed="false">
      <c r="A84" s="10"/>
      <c r="B84" s="13" t="str">
        <f aca="false">IF(A84="","",IFERROR(INDEX(Ana_Malzeme!$B$5:$B$204,MATCH(A84,Ana_Malzeme!$A$5:$A$204,0)),"KATALOGDA YOK"))</f>
        <v/>
      </c>
      <c r="C84" s="13" t="str">
        <f aca="false">IF(A84="","",IFERROR(INDEX(Ana_Malzeme!$D$5:$D$204,MATCH(A84,Ana_Malzeme!$A$5:$A$204,0)),""))</f>
        <v/>
      </c>
      <c r="D84" s="14"/>
      <c r="E84" s="10"/>
      <c r="F84" s="15" t="str">
        <f aca="false">IF(OR(A84="",D84=""),"",D84*IFERROR(INDEX(Kur!$B$5:$B$7,MATCH(E84,Kur!$A$5:$A$7,0)),0))</f>
        <v/>
      </c>
      <c r="G84" s="16"/>
      <c r="H84" s="10"/>
      <c r="I84" s="13" t="str">
        <f aca="false">IF(A84="","",IF(D84="","FİYAT GİRİLMEMİŞ",IF(B84="KATALOGDA YOK","KATALOGDA YOK","Tamam")))</f>
        <v/>
      </c>
    </row>
    <row r="85" customFormat="false" ht="15" hidden="false" customHeight="false" outlineLevel="0" collapsed="false">
      <c r="A85" s="10"/>
      <c r="B85" s="13" t="str">
        <f aca="false">IF(A85="","",IFERROR(INDEX(Ana_Malzeme!$B$5:$B$204,MATCH(A85,Ana_Malzeme!$A$5:$A$204,0)),"KATALOGDA YOK"))</f>
        <v/>
      </c>
      <c r="C85" s="13" t="str">
        <f aca="false">IF(A85="","",IFERROR(INDEX(Ana_Malzeme!$D$5:$D$204,MATCH(A85,Ana_Malzeme!$A$5:$A$204,0)),""))</f>
        <v/>
      </c>
      <c r="D85" s="14"/>
      <c r="E85" s="10"/>
      <c r="F85" s="15" t="str">
        <f aca="false">IF(OR(A85="",D85=""),"",D85*IFERROR(INDEX(Kur!$B$5:$B$7,MATCH(E85,Kur!$A$5:$A$7,0)),0))</f>
        <v/>
      </c>
      <c r="G85" s="16"/>
      <c r="H85" s="10"/>
      <c r="I85" s="13" t="str">
        <f aca="false">IF(A85="","",IF(D85="","FİYAT GİRİLMEMİŞ",IF(B85="KATALOGDA YOK","KATALOGDA YOK","Tamam")))</f>
        <v/>
      </c>
    </row>
    <row r="86" customFormat="false" ht="15" hidden="false" customHeight="false" outlineLevel="0" collapsed="false">
      <c r="A86" s="10"/>
      <c r="B86" s="13" t="str">
        <f aca="false">IF(A86="","",IFERROR(INDEX(Ana_Malzeme!$B$5:$B$204,MATCH(A86,Ana_Malzeme!$A$5:$A$204,0)),"KATALOGDA YOK"))</f>
        <v/>
      </c>
      <c r="C86" s="13" t="str">
        <f aca="false">IF(A86="","",IFERROR(INDEX(Ana_Malzeme!$D$5:$D$204,MATCH(A86,Ana_Malzeme!$A$5:$A$204,0)),""))</f>
        <v/>
      </c>
      <c r="D86" s="14"/>
      <c r="E86" s="10"/>
      <c r="F86" s="15" t="str">
        <f aca="false">IF(OR(A86="",D86=""),"",D86*IFERROR(INDEX(Kur!$B$5:$B$7,MATCH(E86,Kur!$A$5:$A$7,0)),0))</f>
        <v/>
      </c>
      <c r="G86" s="16"/>
      <c r="H86" s="10"/>
      <c r="I86" s="13" t="str">
        <f aca="false">IF(A86="","",IF(D86="","FİYAT GİRİLMEMİŞ",IF(B86="KATALOGDA YOK","KATALOGDA YOK","Tamam")))</f>
        <v/>
      </c>
    </row>
    <row r="87" customFormat="false" ht="15" hidden="false" customHeight="false" outlineLevel="0" collapsed="false">
      <c r="A87" s="10"/>
      <c r="B87" s="13" t="str">
        <f aca="false">IF(A87="","",IFERROR(INDEX(Ana_Malzeme!$B$5:$B$204,MATCH(A87,Ana_Malzeme!$A$5:$A$204,0)),"KATALOGDA YOK"))</f>
        <v/>
      </c>
      <c r="C87" s="13" t="str">
        <f aca="false">IF(A87="","",IFERROR(INDEX(Ana_Malzeme!$D$5:$D$204,MATCH(A87,Ana_Malzeme!$A$5:$A$204,0)),""))</f>
        <v/>
      </c>
      <c r="D87" s="14"/>
      <c r="E87" s="10"/>
      <c r="F87" s="15" t="str">
        <f aca="false">IF(OR(A87="",D87=""),"",D87*IFERROR(INDEX(Kur!$B$5:$B$7,MATCH(E87,Kur!$A$5:$A$7,0)),0))</f>
        <v/>
      </c>
      <c r="G87" s="16"/>
      <c r="H87" s="10"/>
      <c r="I87" s="13" t="str">
        <f aca="false">IF(A87="","",IF(D87="","FİYAT GİRİLMEMİŞ",IF(B87="KATALOGDA YOK","KATALOGDA YOK","Tamam")))</f>
        <v/>
      </c>
    </row>
    <row r="88" customFormat="false" ht="15" hidden="false" customHeight="false" outlineLevel="0" collapsed="false">
      <c r="A88" s="10"/>
      <c r="B88" s="13" t="str">
        <f aca="false">IF(A88="","",IFERROR(INDEX(Ana_Malzeme!$B$5:$B$204,MATCH(A88,Ana_Malzeme!$A$5:$A$204,0)),"KATALOGDA YOK"))</f>
        <v/>
      </c>
      <c r="C88" s="13" t="str">
        <f aca="false">IF(A88="","",IFERROR(INDEX(Ana_Malzeme!$D$5:$D$204,MATCH(A88,Ana_Malzeme!$A$5:$A$204,0)),""))</f>
        <v/>
      </c>
      <c r="D88" s="14"/>
      <c r="E88" s="10"/>
      <c r="F88" s="15" t="str">
        <f aca="false">IF(OR(A88="",D88=""),"",D88*IFERROR(INDEX(Kur!$B$5:$B$7,MATCH(E88,Kur!$A$5:$A$7,0)),0))</f>
        <v/>
      </c>
      <c r="G88" s="16"/>
      <c r="H88" s="10"/>
      <c r="I88" s="13" t="str">
        <f aca="false">IF(A88="","",IF(D88="","FİYAT GİRİLMEMİŞ",IF(B88="KATALOGDA YOK","KATALOGDA YOK","Tamam")))</f>
        <v/>
      </c>
    </row>
    <row r="89" customFormat="false" ht="15" hidden="false" customHeight="false" outlineLevel="0" collapsed="false">
      <c r="A89" s="10"/>
      <c r="B89" s="13" t="str">
        <f aca="false">IF(A89="","",IFERROR(INDEX(Ana_Malzeme!$B$5:$B$204,MATCH(A89,Ana_Malzeme!$A$5:$A$204,0)),"KATALOGDA YOK"))</f>
        <v/>
      </c>
      <c r="C89" s="13" t="str">
        <f aca="false">IF(A89="","",IFERROR(INDEX(Ana_Malzeme!$D$5:$D$204,MATCH(A89,Ana_Malzeme!$A$5:$A$204,0)),""))</f>
        <v/>
      </c>
      <c r="D89" s="14"/>
      <c r="E89" s="10"/>
      <c r="F89" s="15" t="str">
        <f aca="false">IF(OR(A89="",D89=""),"",D89*IFERROR(INDEX(Kur!$B$5:$B$7,MATCH(E89,Kur!$A$5:$A$7,0)),0))</f>
        <v/>
      </c>
      <c r="G89" s="16"/>
      <c r="H89" s="10"/>
      <c r="I89" s="13" t="str">
        <f aca="false">IF(A89="","",IF(D89="","FİYAT GİRİLMEMİŞ",IF(B89="KATALOGDA YOK","KATALOGDA YOK","Tamam")))</f>
        <v/>
      </c>
    </row>
    <row r="90" customFormat="false" ht="15" hidden="false" customHeight="false" outlineLevel="0" collapsed="false">
      <c r="A90" s="10"/>
      <c r="B90" s="13" t="str">
        <f aca="false">IF(A90="","",IFERROR(INDEX(Ana_Malzeme!$B$5:$B$204,MATCH(A90,Ana_Malzeme!$A$5:$A$204,0)),"KATALOGDA YOK"))</f>
        <v/>
      </c>
      <c r="C90" s="13" t="str">
        <f aca="false">IF(A90="","",IFERROR(INDEX(Ana_Malzeme!$D$5:$D$204,MATCH(A90,Ana_Malzeme!$A$5:$A$204,0)),""))</f>
        <v/>
      </c>
      <c r="D90" s="14"/>
      <c r="E90" s="10"/>
      <c r="F90" s="15" t="str">
        <f aca="false">IF(OR(A90="",D90=""),"",D90*IFERROR(INDEX(Kur!$B$5:$B$7,MATCH(E90,Kur!$A$5:$A$7,0)),0))</f>
        <v/>
      </c>
      <c r="G90" s="16"/>
      <c r="H90" s="10"/>
      <c r="I90" s="13" t="str">
        <f aca="false">IF(A90="","",IF(D90="","FİYAT GİRİLMEMİŞ",IF(B90="KATALOGDA YOK","KATALOGDA YOK","Tamam")))</f>
        <v/>
      </c>
    </row>
    <row r="91" customFormat="false" ht="15" hidden="false" customHeight="false" outlineLevel="0" collapsed="false">
      <c r="A91" s="10"/>
      <c r="B91" s="13" t="str">
        <f aca="false">IF(A91="","",IFERROR(INDEX(Ana_Malzeme!$B$5:$B$204,MATCH(A91,Ana_Malzeme!$A$5:$A$204,0)),"KATALOGDA YOK"))</f>
        <v/>
      </c>
      <c r="C91" s="13" t="str">
        <f aca="false">IF(A91="","",IFERROR(INDEX(Ana_Malzeme!$D$5:$D$204,MATCH(A91,Ana_Malzeme!$A$5:$A$204,0)),""))</f>
        <v/>
      </c>
      <c r="D91" s="14"/>
      <c r="E91" s="10"/>
      <c r="F91" s="15" t="str">
        <f aca="false">IF(OR(A91="",D91=""),"",D91*IFERROR(INDEX(Kur!$B$5:$B$7,MATCH(E91,Kur!$A$5:$A$7,0)),0))</f>
        <v/>
      </c>
      <c r="G91" s="16"/>
      <c r="H91" s="10"/>
      <c r="I91" s="13" t="str">
        <f aca="false">IF(A91="","",IF(D91="","FİYAT GİRİLMEMİŞ",IF(B91="KATALOGDA YOK","KATALOGDA YOK","Tamam")))</f>
        <v/>
      </c>
    </row>
    <row r="92" customFormat="false" ht="15" hidden="false" customHeight="false" outlineLevel="0" collapsed="false">
      <c r="A92" s="10"/>
      <c r="B92" s="13" t="str">
        <f aca="false">IF(A92="","",IFERROR(INDEX(Ana_Malzeme!$B$5:$B$204,MATCH(A92,Ana_Malzeme!$A$5:$A$204,0)),"KATALOGDA YOK"))</f>
        <v/>
      </c>
      <c r="C92" s="13" t="str">
        <f aca="false">IF(A92="","",IFERROR(INDEX(Ana_Malzeme!$D$5:$D$204,MATCH(A92,Ana_Malzeme!$A$5:$A$204,0)),""))</f>
        <v/>
      </c>
      <c r="D92" s="14"/>
      <c r="E92" s="10"/>
      <c r="F92" s="15" t="str">
        <f aca="false">IF(OR(A92="",D92=""),"",D92*IFERROR(INDEX(Kur!$B$5:$B$7,MATCH(E92,Kur!$A$5:$A$7,0)),0))</f>
        <v/>
      </c>
      <c r="G92" s="16"/>
      <c r="H92" s="10"/>
      <c r="I92" s="13" t="str">
        <f aca="false">IF(A92="","",IF(D92="","FİYAT GİRİLMEMİŞ",IF(B92="KATALOGDA YOK","KATALOGDA YOK","Tamam")))</f>
        <v/>
      </c>
    </row>
    <row r="93" customFormat="false" ht="15" hidden="false" customHeight="false" outlineLevel="0" collapsed="false">
      <c r="A93" s="10"/>
      <c r="B93" s="13" t="str">
        <f aca="false">IF(A93="","",IFERROR(INDEX(Ana_Malzeme!$B$5:$B$204,MATCH(A93,Ana_Malzeme!$A$5:$A$204,0)),"KATALOGDA YOK"))</f>
        <v/>
      </c>
      <c r="C93" s="13" t="str">
        <f aca="false">IF(A93="","",IFERROR(INDEX(Ana_Malzeme!$D$5:$D$204,MATCH(A93,Ana_Malzeme!$A$5:$A$204,0)),""))</f>
        <v/>
      </c>
      <c r="D93" s="14"/>
      <c r="E93" s="10"/>
      <c r="F93" s="15" t="str">
        <f aca="false">IF(OR(A93="",D93=""),"",D93*IFERROR(INDEX(Kur!$B$5:$B$7,MATCH(E93,Kur!$A$5:$A$7,0)),0))</f>
        <v/>
      </c>
      <c r="G93" s="16"/>
      <c r="H93" s="10"/>
      <c r="I93" s="13" t="str">
        <f aca="false">IF(A93="","",IF(D93="","FİYAT GİRİLMEMİŞ",IF(B93="KATALOGDA YOK","KATALOGDA YOK","Tamam")))</f>
        <v/>
      </c>
    </row>
    <row r="94" customFormat="false" ht="15" hidden="false" customHeight="false" outlineLevel="0" collapsed="false">
      <c r="A94" s="10"/>
      <c r="B94" s="13" t="str">
        <f aca="false">IF(A94="","",IFERROR(INDEX(Ana_Malzeme!$B$5:$B$204,MATCH(A94,Ana_Malzeme!$A$5:$A$204,0)),"KATALOGDA YOK"))</f>
        <v/>
      </c>
      <c r="C94" s="13" t="str">
        <f aca="false">IF(A94="","",IFERROR(INDEX(Ana_Malzeme!$D$5:$D$204,MATCH(A94,Ana_Malzeme!$A$5:$A$204,0)),""))</f>
        <v/>
      </c>
      <c r="D94" s="14"/>
      <c r="E94" s="10"/>
      <c r="F94" s="15" t="str">
        <f aca="false">IF(OR(A94="",D94=""),"",D94*IFERROR(INDEX(Kur!$B$5:$B$7,MATCH(E94,Kur!$A$5:$A$7,0)),0))</f>
        <v/>
      </c>
      <c r="G94" s="16"/>
      <c r="H94" s="10"/>
      <c r="I94" s="13" t="str">
        <f aca="false">IF(A94="","",IF(D94="","FİYAT GİRİLMEMİŞ",IF(B94="KATALOGDA YOK","KATALOGDA YOK","Tamam")))</f>
        <v/>
      </c>
    </row>
    <row r="95" customFormat="false" ht="15" hidden="false" customHeight="false" outlineLevel="0" collapsed="false">
      <c r="A95" s="10"/>
      <c r="B95" s="13" t="str">
        <f aca="false">IF(A95="","",IFERROR(INDEX(Ana_Malzeme!$B$5:$B$204,MATCH(A95,Ana_Malzeme!$A$5:$A$204,0)),"KATALOGDA YOK"))</f>
        <v/>
      </c>
      <c r="C95" s="13" t="str">
        <f aca="false">IF(A95="","",IFERROR(INDEX(Ana_Malzeme!$D$5:$D$204,MATCH(A95,Ana_Malzeme!$A$5:$A$204,0)),""))</f>
        <v/>
      </c>
      <c r="D95" s="14"/>
      <c r="E95" s="10"/>
      <c r="F95" s="15" t="str">
        <f aca="false">IF(OR(A95="",D95=""),"",D95*IFERROR(INDEX(Kur!$B$5:$B$7,MATCH(E95,Kur!$A$5:$A$7,0)),0))</f>
        <v/>
      </c>
      <c r="G95" s="16"/>
      <c r="H95" s="10"/>
      <c r="I95" s="13" t="str">
        <f aca="false">IF(A95="","",IF(D95="","FİYAT GİRİLMEMİŞ",IF(B95="KATALOGDA YOK","KATALOGDA YOK","Tamam")))</f>
        <v/>
      </c>
    </row>
    <row r="96" customFormat="false" ht="15" hidden="false" customHeight="false" outlineLevel="0" collapsed="false">
      <c r="A96" s="10"/>
      <c r="B96" s="13" t="str">
        <f aca="false">IF(A96="","",IFERROR(INDEX(Ana_Malzeme!$B$5:$B$204,MATCH(A96,Ana_Malzeme!$A$5:$A$204,0)),"KATALOGDA YOK"))</f>
        <v/>
      </c>
      <c r="C96" s="13" t="str">
        <f aca="false">IF(A96="","",IFERROR(INDEX(Ana_Malzeme!$D$5:$D$204,MATCH(A96,Ana_Malzeme!$A$5:$A$204,0)),""))</f>
        <v/>
      </c>
      <c r="D96" s="14"/>
      <c r="E96" s="10"/>
      <c r="F96" s="15" t="str">
        <f aca="false">IF(OR(A96="",D96=""),"",D96*IFERROR(INDEX(Kur!$B$5:$B$7,MATCH(E96,Kur!$A$5:$A$7,0)),0))</f>
        <v/>
      </c>
      <c r="G96" s="16"/>
      <c r="H96" s="10"/>
      <c r="I96" s="13" t="str">
        <f aca="false">IF(A96="","",IF(D96="","FİYAT GİRİLMEMİŞ",IF(B96="KATALOGDA YOK","KATALOGDA YOK","Tamam")))</f>
        <v/>
      </c>
    </row>
    <row r="97" customFormat="false" ht="15" hidden="false" customHeight="false" outlineLevel="0" collapsed="false">
      <c r="A97" s="10"/>
      <c r="B97" s="13" t="str">
        <f aca="false">IF(A97="","",IFERROR(INDEX(Ana_Malzeme!$B$5:$B$204,MATCH(A97,Ana_Malzeme!$A$5:$A$204,0)),"KATALOGDA YOK"))</f>
        <v/>
      </c>
      <c r="C97" s="13" t="str">
        <f aca="false">IF(A97="","",IFERROR(INDEX(Ana_Malzeme!$D$5:$D$204,MATCH(A97,Ana_Malzeme!$A$5:$A$204,0)),""))</f>
        <v/>
      </c>
      <c r="D97" s="14"/>
      <c r="E97" s="10"/>
      <c r="F97" s="15" t="str">
        <f aca="false">IF(OR(A97="",D97=""),"",D97*IFERROR(INDEX(Kur!$B$5:$B$7,MATCH(E97,Kur!$A$5:$A$7,0)),0))</f>
        <v/>
      </c>
      <c r="G97" s="16"/>
      <c r="H97" s="10"/>
      <c r="I97" s="13" t="str">
        <f aca="false">IF(A97="","",IF(D97="","FİYAT GİRİLMEMİŞ",IF(B97="KATALOGDA YOK","KATALOGDA YOK","Tamam")))</f>
        <v/>
      </c>
    </row>
    <row r="98" customFormat="false" ht="15" hidden="false" customHeight="false" outlineLevel="0" collapsed="false">
      <c r="A98" s="10"/>
      <c r="B98" s="13" t="str">
        <f aca="false">IF(A98="","",IFERROR(INDEX(Ana_Malzeme!$B$5:$B$204,MATCH(A98,Ana_Malzeme!$A$5:$A$204,0)),"KATALOGDA YOK"))</f>
        <v/>
      </c>
      <c r="C98" s="13" t="str">
        <f aca="false">IF(A98="","",IFERROR(INDEX(Ana_Malzeme!$D$5:$D$204,MATCH(A98,Ana_Malzeme!$A$5:$A$204,0)),""))</f>
        <v/>
      </c>
      <c r="D98" s="14"/>
      <c r="E98" s="10"/>
      <c r="F98" s="15" t="str">
        <f aca="false">IF(OR(A98="",D98=""),"",D98*IFERROR(INDEX(Kur!$B$5:$B$7,MATCH(E98,Kur!$A$5:$A$7,0)),0))</f>
        <v/>
      </c>
      <c r="G98" s="16"/>
      <c r="H98" s="10"/>
      <c r="I98" s="13" t="str">
        <f aca="false">IF(A98="","",IF(D98="","FİYAT GİRİLMEMİŞ",IF(B98="KATALOGDA YOK","KATALOGDA YOK","Tamam")))</f>
        <v/>
      </c>
    </row>
    <row r="99" customFormat="false" ht="15" hidden="false" customHeight="false" outlineLevel="0" collapsed="false">
      <c r="A99" s="10"/>
      <c r="B99" s="13" t="str">
        <f aca="false">IF(A99="","",IFERROR(INDEX(Ana_Malzeme!$B$5:$B$204,MATCH(A99,Ana_Malzeme!$A$5:$A$204,0)),"KATALOGDA YOK"))</f>
        <v/>
      </c>
      <c r="C99" s="13" t="str">
        <f aca="false">IF(A99="","",IFERROR(INDEX(Ana_Malzeme!$D$5:$D$204,MATCH(A99,Ana_Malzeme!$A$5:$A$204,0)),""))</f>
        <v/>
      </c>
      <c r="D99" s="14"/>
      <c r="E99" s="10"/>
      <c r="F99" s="15" t="str">
        <f aca="false">IF(OR(A99="",D99=""),"",D99*IFERROR(INDEX(Kur!$B$5:$B$7,MATCH(E99,Kur!$A$5:$A$7,0)),0))</f>
        <v/>
      </c>
      <c r="G99" s="16"/>
      <c r="H99" s="10"/>
      <c r="I99" s="13" t="str">
        <f aca="false">IF(A99="","",IF(D99="","FİYAT GİRİLMEMİŞ",IF(B99="KATALOGDA YOK","KATALOGDA YOK","Tamam")))</f>
        <v/>
      </c>
    </row>
    <row r="100" customFormat="false" ht="15" hidden="false" customHeight="false" outlineLevel="0" collapsed="false">
      <c r="A100" s="10"/>
      <c r="B100" s="13" t="str">
        <f aca="false">IF(A100="","",IFERROR(INDEX(Ana_Malzeme!$B$5:$B$204,MATCH(A100,Ana_Malzeme!$A$5:$A$204,0)),"KATALOGDA YOK"))</f>
        <v/>
      </c>
      <c r="C100" s="13" t="str">
        <f aca="false">IF(A100="","",IFERROR(INDEX(Ana_Malzeme!$D$5:$D$204,MATCH(A100,Ana_Malzeme!$A$5:$A$204,0)),""))</f>
        <v/>
      </c>
      <c r="D100" s="14"/>
      <c r="E100" s="10"/>
      <c r="F100" s="15" t="str">
        <f aca="false">IF(OR(A100="",D100=""),"",D100*IFERROR(INDEX(Kur!$B$5:$B$7,MATCH(E100,Kur!$A$5:$A$7,0)),0))</f>
        <v/>
      </c>
      <c r="G100" s="16"/>
      <c r="H100" s="10"/>
      <c r="I100" s="13" t="str">
        <f aca="false">IF(A100="","",IF(D100="","FİYAT GİRİLMEMİŞ",IF(B100="KATALOGDA YOK","KATALOGDA YOK","Tamam")))</f>
        <v/>
      </c>
    </row>
    <row r="101" customFormat="false" ht="15" hidden="false" customHeight="false" outlineLevel="0" collapsed="false">
      <c r="A101" s="10"/>
      <c r="B101" s="13" t="str">
        <f aca="false">IF(A101="","",IFERROR(INDEX(Ana_Malzeme!$B$5:$B$204,MATCH(A101,Ana_Malzeme!$A$5:$A$204,0)),"KATALOGDA YOK"))</f>
        <v/>
      </c>
      <c r="C101" s="13" t="str">
        <f aca="false">IF(A101="","",IFERROR(INDEX(Ana_Malzeme!$D$5:$D$204,MATCH(A101,Ana_Malzeme!$A$5:$A$204,0)),""))</f>
        <v/>
      </c>
      <c r="D101" s="14"/>
      <c r="E101" s="10"/>
      <c r="F101" s="15" t="str">
        <f aca="false">IF(OR(A101="",D101=""),"",D101*IFERROR(INDEX(Kur!$B$5:$B$7,MATCH(E101,Kur!$A$5:$A$7,0)),0))</f>
        <v/>
      </c>
      <c r="G101" s="16"/>
      <c r="H101" s="10"/>
      <c r="I101" s="13" t="str">
        <f aca="false">IF(A101="","",IF(D101="","FİYAT GİRİLMEMİŞ",IF(B101="KATALOGDA YOK","KATALOGDA YOK","Tamam")))</f>
        <v/>
      </c>
    </row>
    <row r="102" customFormat="false" ht="15" hidden="false" customHeight="false" outlineLevel="0" collapsed="false">
      <c r="A102" s="10"/>
      <c r="B102" s="13" t="str">
        <f aca="false">IF(A102="","",IFERROR(INDEX(Ana_Malzeme!$B$5:$B$204,MATCH(A102,Ana_Malzeme!$A$5:$A$204,0)),"KATALOGDA YOK"))</f>
        <v/>
      </c>
      <c r="C102" s="13" t="str">
        <f aca="false">IF(A102="","",IFERROR(INDEX(Ana_Malzeme!$D$5:$D$204,MATCH(A102,Ana_Malzeme!$A$5:$A$204,0)),""))</f>
        <v/>
      </c>
      <c r="D102" s="14"/>
      <c r="E102" s="10"/>
      <c r="F102" s="15" t="str">
        <f aca="false">IF(OR(A102="",D102=""),"",D102*IFERROR(INDEX(Kur!$B$5:$B$7,MATCH(E102,Kur!$A$5:$A$7,0)),0))</f>
        <v/>
      </c>
      <c r="G102" s="16"/>
      <c r="H102" s="10"/>
      <c r="I102" s="13" t="str">
        <f aca="false">IF(A102="","",IF(D102="","FİYAT GİRİLMEMİŞ",IF(B102="KATALOGDA YOK","KATALOGDA YOK","Tamam")))</f>
        <v/>
      </c>
    </row>
    <row r="103" customFormat="false" ht="15" hidden="false" customHeight="false" outlineLevel="0" collapsed="false">
      <c r="A103" s="10"/>
      <c r="B103" s="13" t="str">
        <f aca="false">IF(A103="","",IFERROR(INDEX(Ana_Malzeme!$B$5:$B$204,MATCH(A103,Ana_Malzeme!$A$5:$A$204,0)),"KATALOGDA YOK"))</f>
        <v/>
      </c>
      <c r="C103" s="13" t="str">
        <f aca="false">IF(A103="","",IFERROR(INDEX(Ana_Malzeme!$D$5:$D$204,MATCH(A103,Ana_Malzeme!$A$5:$A$204,0)),""))</f>
        <v/>
      </c>
      <c r="D103" s="14"/>
      <c r="E103" s="10"/>
      <c r="F103" s="15" t="str">
        <f aca="false">IF(OR(A103="",D103=""),"",D103*IFERROR(INDEX(Kur!$B$5:$B$7,MATCH(E103,Kur!$A$5:$A$7,0)),0))</f>
        <v/>
      </c>
      <c r="G103" s="16"/>
      <c r="H103" s="10"/>
      <c r="I103" s="13" t="str">
        <f aca="false">IF(A103="","",IF(D103="","FİYAT GİRİLMEMİŞ",IF(B103="KATALOGDA YOK","KATALOGDA YOK","Tamam")))</f>
        <v/>
      </c>
    </row>
    <row r="104" customFormat="false" ht="15" hidden="false" customHeight="false" outlineLevel="0" collapsed="false">
      <c r="A104" s="10"/>
      <c r="B104" s="13" t="str">
        <f aca="false">IF(A104="","",IFERROR(INDEX(Ana_Malzeme!$B$5:$B$204,MATCH(A104,Ana_Malzeme!$A$5:$A$204,0)),"KATALOGDA YOK"))</f>
        <v/>
      </c>
      <c r="C104" s="13" t="str">
        <f aca="false">IF(A104="","",IFERROR(INDEX(Ana_Malzeme!$D$5:$D$204,MATCH(A104,Ana_Malzeme!$A$5:$A$204,0)),""))</f>
        <v/>
      </c>
      <c r="D104" s="14"/>
      <c r="E104" s="10"/>
      <c r="F104" s="15" t="str">
        <f aca="false">IF(OR(A104="",D104=""),"",D104*IFERROR(INDEX(Kur!$B$5:$B$7,MATCH(E104,Kur!$A$5:$A$7,0)),0))</f>
        <v/>
      </c>
      <c r="G104" s="16"/>
      <c r="H104" s="10"/>
      <c r="I104" s="13" t="str">
        <f aca="false">IF(A104="","",IF(D104="","FİYAT GİRİLMEMİŞ",IF(B104="KATALOGDA YOK","KATALOGDA YOK","Tamam")))</f>
        <v/>
      </c>
    </row>
    <row r="105" customFormat="false" ht="15" hidden="false" customHeight="false" outlineLevel="0" collapsed="false">
      <c r="A105" s="10"/>
      <c r="B105" s="13" t="str">
        <f aca="false">IF(A105="","",IFERROR(INDEX(Ana_Malzeme!$B$5:$B$204,MATCH(A105,Ana_Malzeme!$A$5:$A$204,0)),"KATALOGDA YOK"))</f>
        <v/>
      </c>
      <c r="C105" s="13" t="str">
        <f aca="false">IF(A105="","",IFERROR(INDEX(Ana_Malzeme!$D$5:$D$204,MATCH(A105,Ana_Malzeme!$A$5:$A$204,0)),""))</f>
        <v/>
      </c>
      <c r="D105" s="14"/>
      <c r="E105" s="10"/>
      <c r="F105" s="15" t="str">
        <f aca="false">IF(OR(A105="",D105=""),"",D105*IFERROR(INDEX(Kur!$B$5:$B$7,MATCH(E105,Kur!$A$5:$A$7,0)),0))</f>
        <v/>
      </c>
      <c r="G105" s="16"/>
      <c r="H105" s="10"/>
      <c r="I105" s="13" t="str">
        <f aca="false">IF(A105="","",IF(D105="","FİYAT GİRİLMEMİŞ",IF(B105="KATALOGDA YOK","KATALOGDA YOK","Tamam")))</f>
        <v/>
      </c>
    </row>
    <row r="106" customFormat="false" ht="15" hidden="false" customHeight="false" outlineLevel="0" collapsed="false">
      <c r="A106" s="10"/>
      <c r="B106" s="13" t="str">
        <f aca="false">IF(A106="","",IFERROR(INDEX(Ana_Malzeme!$B$5:$B$204,MATCH(A106,Ana_Malzeme!$A$5:$A$204,0)),"KATALOGDA YOK"))</f>
        <v/>
      </c>
      <c r="C106" s="13" t="str">
        <f aca="false">IF(A106="","",IFERROR(INDEX(Ana_Malzeme!$D$5:$D$204,MATCH(A106,Ana_Malzeme!$A$5:$A$204,0)),""))</f>
        <v/>
      </c>
      <c r="D106" s="14"/>
      <c r="E106" s="10"/>
      <c r="F106" s="15" t="str">
        <f aca="false">IF(OR(A106="",D106=""),"",D106*IFERROR(INDEX(Kur!$B$5:$B$7,MATCH(E106,Kur!$A$5:$A$7,0)),0))</f>
        <v/>
      </c>
      <c r="G106" s="16"/>
      <c r="H106" s="10"/>
      <c r="I106" s="13" t="str">
        <f aca="false">IF(A106="","",IF(D106="","FİYAT GİRİLMEMİŞ",IF(B106="KATALOGDA YOK","KATALOGDA YOK","Tamam")))</f>
        <v/>
      </c>
    </row>
    <row r="107" customFormat="false" ht="15" hidden="false" customHeight="false" outlineLevel="0" collapsed="false">
      <c r="A107" s="10"/>
      <c r="B107" s="13" t="str">
        <f aca="false">IF(A107="","",IFERROR(INDEX(Ana_Malzeme!$B$5:$B$204,MATCH(A107,Ana_Malzeme!$A$5:$A$204,0)),"KATALOGDA YOK"))</f>
        <v/>
      </c>
      <c r="C107" s="13" t="str">
        <f aca="false">IF(A107="","",IFERROR(INDEX(Ana_Malzeme!$D$5:$D$204,MATCH(A107,Ana_Malzeme!$A$5:$A$204,0)),""))</f>
        <v/>
      </c>
      <c r="D107" s="14"/>
      <c r="E107" s="10"/>
      <c r="F107" s="15" t="str">
        <f aca="false">IF(OR(A107="",D107=""),"",D107*IFERROR(INDEX(Kur!$B$5:$B$7,MATCH(E107,Kur!$A$5:$A$7,0)),0))</f>
        <v/>
      </c>
      <c r="G107" s="16"/>
      <c r="H107" s="10"/>
      <c r="I107" s="13" t="str">
        <f aca="false">IF(A107="","",IF(D107="","FİYAT GİRİLMEMİŞ",IF(B107="KATALOGDA YOK","KATALOGDA YOK","Tamam")))</f>
        <v/>
      </c>
    </row>
    <row r="108" customFormat="false" ht="15" hidden="false" customHeight="false" outlineLevel="0" collapsed="false">
      <c r="A108" s="10"/>
      <c r="B108" s="13" t="str">
        <f aca="false">IF(A108="","",IFERROR(INDEX(Ana_Malzeme!$B$5:$B$204,MATCH(A108,Ana_Malzeme!$A$5:$A$204,0)),"KATALOGDA YOK"))</f>
        <v/>
      </c>
      <c r="C108" s="13" t="str">
        <f aca="false">IF(A108="","",IFERROR(INDEX(Ana_Malzeme!$D$5:$D$204,MATCH(A108,Ana_Malzeme!$A$5:$A$204,0)),""))</f>
        <v/>
      </c>
      <c r="D108" s="14"/>
      <c r="E108" s="10"/>
      <c r="F108" s="15" t="str">
        <f aca="false">IF(OR(A108="",D108=""),"",D108*IFERROR(INDEX(Kur!$B$5:$B$7,MATCH(E108,Kur!$A$5:$A$7,0)),0))</f>
        <v/>
      </c>
      <c r="G108" s="16"/>
      <c r="H108" s="10"/>
      <c r="I108" s="13" t="str">
        <f aca="false">IF(A108="","",IF(D108="","FİYAT GİRİLMEMİŞ",IF(B108="KATALOGDA YOK","KATALOGDA YOK","Tamam")))</f>
        <v/>
      </c>
    </row>
    <row r="109" customFormat="false" ht="15" hidden="false" customHeight="false" outlineLevel="0" collapsed="false">
      <c r="A109" s="10"/>
      <c r="B109" s="13" t="str">
        <f aca="false">IF(A109="","",IFERROR(INDEX(Ana_Malzeme!$B$5:$B$204,MATCH(A109,Ana_Malzeme!$A$5:$A$204,0)),"KATALOGDA YOK"))</f>
        <v/>
      </c>
      <c r="C109" s="13" t="str">
        <f aca="false">IF(A109="","",IFERROR(INDEX(Ana_Malzeme!$D$5:$D$204,MATCH(A109,Ana_Malzeme!$A$5:$A$204,0)),""))</f>
        <v/>
      </c>
      <c r="D109" s="14"/>
      <c r="E109" s="10"/>
      <c r="F109" s="15" t="str">
        <f aca="false">IF(OR(A109="",D109=""),"",D109*IFERROR(INDEX(Kur!$B$5:$B$7,MATCH(E109,Kur!$A$5:$A$7,0)),0))</f>
        <v/>
      </c>
      <c r="G109" s="16"/>
      <c r="H109" s="10"/>
      <c r="I109" s="13" t="str">
        <f aca="false">IF(A109="","",IF(D109="","FİYAT GİRİLMEMİŞ",IF(B109="KATALOGDA YOK","KATALOGDA YOK","Tamam")))</f>
        <v/>
      </c>
    </row>
    <row r="110" customFormat="false" ht="15" hidden="false" customHeight="false" outlineLevel="0" collapsed="false">
      <c r="A110" s="10"/>
      <c r="B110" s="13" t="str">
        <f aca="false">IF(A110="","",IFERROR(INDEX(Ana_Malzeme!$B$5:$B$204,MATCH(A110,Ana_Malzeme!$A$5:$A$204,0)),"KATALOGDA YOK"))</f>
        <v/>
      </c>
      <c r="C110" s="13" t="str">
        <f aca="false">IF(A110="","",IFERROR(INDEX(Ana_Malzeme!$D$5:$D$204,MATCH(A110,Ana_Malzeme!$A$5:$A$204,0)),""))</f>
        <v/>
      </c>
      <c r="D110" s="14"/>
      <c r="E110" s="10"/>
      <c r="F110" s="15" t="str">
        <f aca="false">IF(OR(A110="",D110=""),"",D110*IFERROR(INDEX(Kur!$B$5:$B$7,MATCH(E110,Kur!$A$5:$A$7,0)),0))</f>
        <v/>
      </c>
      <c r="G110" s="16"/>
      <c r="H110" s="10"/>
      <c r="I110" s="13" t="str">
        <f aca="false">IF(A110="","",IF(D110="","FİYAT GİRİLMEMİŞ",IF(B110="KATALOGDA YOK","KATALOGDA YOK","Tamam")))</f>
        <v/>
      </c>
    </row>
    <row r="111" customFormat="false" ht="15" hidden="false" customHeight="false" outlineLevel="0" collapsed="false">
      <c r="A111" s="10"/>
      <c r="B111" s="13" t="str">
        <f aca="false">IF(A111="","",IFERROR(INDEX(Ana_Malzeme!$B$5:$B$204,MATCH(A111,Ana_Malzeme!$A$5:$A$204,0)),"KATALOGDA YOK"))</f>
        <v/>
      </c>
      <c r="C111" s="13" t="str">
        <f aca="false">IF(A111="","",IFERROR(INDEX(Ana_Malzeme!$D$5:$D$204,MATCH(A111,Ana_Malzeme!$A$5:$A$204,0)),""))</f>
        <v/>
      </c>
      <c r="D111" s="14"/>
      <c r="E111" s="10"/>
      <c r="F111" s="15" t="str">
        <f aca="false">IF(OR(A111="",D111=""),"",D111*IFERROR(INDEX(Kur!$B$5:$B$7,MATCH(E111,Kur!$A$5:$A$7,0)),0))</f>
        <v/>
      </c>
      <c r="G111" s="16"/>
      <c r="H111" s="10"/>
      <c r="I111" s="13" t="str">
        <f aca="false">IF(A111="","",IF(D111="","FİYAT GİRİLMEMİŞ",IF(B111="KATALOGDA YOK","KATALOGDA YOK","Tamam")))</f>
        <v/>
      </c>
    </row>
    <row r="112" customFormat="false" ht="15" hidden="false" customHeight="false" outlineLevel="0" collapsed="false">
      <c r="A112" s="10"/>
      <c r="B112" s="13" t="str">
        <f aca="false">IF(A112="","",IFERROR(INDEX(Ana_Malzeme!$B$5:$B$204,MATCH(A112,Ana_Malzeme!$A$5:$A$204,0)),"KATALOGDA YOK"))</f>
        <v/>
      </c>
      <c r="C112" s="13" t="str">
        <f aca="false">IF(A112="","",IFERROR(INDEX(Ana_Malzeme!$D$5:$D$204,MATCH(A112,Ana_Malzeme!$A$5:$A$204,0)),""))</f>
        <v/>
      </c>
      <c r="D112" s="14"/>
      <c r="E112" s="10"/>
      <c r="F112" s="15" t="str">
        <f aca="false">IF(OR(A112="",D112=""),"",D112*IFERROR(INDEX(Kur!$B$5:$B$7,MATCH(E112,Kur!$A$5:$A$7,0)),0))</f>
        <v/>
      </c>
      <c r="G112" s="16"/>
      <c r="H112" s="10"/>
      <c r="I112" s="13" t="str">
        <f aca="false">IF(A112="","",IF(D112="","FİYAT GİRİLMEMİŞ",IF(B112="KATALOGDA YOK","KATALOGDA YOK","Tamam")))</f>
        <v/>
      </c>
    </row>
    <row r="113" customFormat="false" ht="15" hidden="false" customHeight="false" outlineLevel="0" collapsed="false">
      <c r="A113" s="10"/>
      <c r="B113" s="13" t="str">
        <f aca="false">IF(A113="","",IFERROR(INDEX(Ana_Malzeme!$B$5:$B$204,MATCH(A113,Ana_Malzeme!$A$5:$A$204,0)),"KATALOGDA YOK"))</f>
        <v/>
      </c>
      <c r="C113" s="13" t="str">
        <f aca="false">IF(A113="","",IFERROR(INDEX(Ana_Malzeme!$D$5:$D$204,MATCH(A113,Ana_Malzeme!$A$5:$A$204,0)),""))</f>
        <v/>
      </c>
      <c r="D113" s="14"/>
      <c r="E113" s="10"/>
      <c r="F113" s="15" t="str">
        <f aca="false">IF(OR(A113="",D113=""),"",D113*IFERROR(INDEX(Kur!$B$5:$B$7,MATCH(E113,Kur!$A$5:$A$7,0)),0))</f>
        <v/>
      </c>
      <c r="G113" s="16"/>
      <c r="H113" s="10"/>
      <c r="I113" s="13" t="str">
        <f aca="false">IF(A113="","",IF(D113="","FİYAT GİRİLMEMİŞ",IF(B113="KATALOGDA YOK","KATALOGDA YOK","Tamam")))</f>
        <v/>
      </c>
    </row>
    <row r="114" customFormat="false" ht="15" hidden="false" customHeight="false" outlineLevel="0" collapsed="false">
      <c r="A114" s="10"/>
      <c r="B114" s="13" t="str">
        <f aca="false">IF(A114="","",IFERROR(INDEX(Ana_Malzeme!$B$5:$B$204,MATCH(A114,Ana_Malzeme!$A$5:$A$204,0)),"KATALOGDA YOK"))</f>
        <v/>
      </c>
      <c r="C114" s="13" t="str">
        <f aca="false">IF(A114="","",IFERROR(INDEX(Ana_Malzeme!$D$5:$D$204,MATCH(A114,Ana_Malzeme!$A$5:$A$204,0)),""))</f>
        <v/>
      </c>
      <c r="D114" s="14"/>
      <c r="E114" s="10"/>
      <c r="F114" s="15" t="str">
        <f aca="false">IF(OR(A114="",D114=""),"",D114*IFERROR(INDEX(Kur!$B$5:$B$7,MATCH(E114,Kur!$A$5:$A$7,0)),0))</f>
        <v/>
      </c>
      <c r="G114" s="16"/>
      <c r="H114" s="10"/>
      <c r="I114" s="13" t="str">
        <f aca="false">IF(A114="","",IF(D114="","FİYAT GİRİLMEMİŞ",IF(B114="KATALOGDA YOK","KATALOGDA YOK","Tamam")))</f>
        <v/>
      </c>
    </row>
    <row r="115" customFormat="false" ht="15" hidden="false" customHeight="false" outlineLevel="0" collapsed="false">
      <c r="A115" s="10"/>
      <c r="B115" s="13" t="str">
        <f aca="false">IF(A115="","",IFERROR(INDEX(Ana_Malzeme!$B$5:$B$204,MATCH(A115,Ana_Malzeme!$A$5:$A$204,0)),"KATALOGDA YOK"))</f>
        <v/>
      </c>
      <c r="C115" s="13" t="str">
        <f aca="false">IF(A115="","",IFERROR(INDEX(Ana_Malzeme!$D$5:$D$204,MATCH(A115,Ana_Malzeme!$A$5:$A$204,0)),""))</f>
        <v/>
      </c>
      <c r="D115" s="14"/>
      <c r="E115" s="10"/>
      <c r="F115" s="15" t="str">
        <f aca="false">IF(OR(A115="",D115=""),"",D115*IFERROR(INDEX(Kur!$B$5:$B$7,MATCH(E115,Kur!$A$5:$A$7,0)),0))</f>
        <v/>
      </c>
      <c r="G115" s="16"/>
      <c r="H115" s="10"/>
      <c r="I115" s="13" t="str">
        <f aca="false">IF(A115="","",IF(D115="","FİYAT GİRİLMEMİŞ",IF(B115="KATALOGDA YOK","KATALOGDA YOK","Tamam")))</f>
        <v/>
      </c>
    </row>
    <row r="116" customFormat="false" ht="15" hidden="false" customHeight="false" outlineLevel="0" collapsed="false">
      <c r="A116" s="10"/>
      <c r="B116" s="13" t="str">
        <f aca="false">IF(A116="","",IFERROR(INDEX(Ana_Malzeme!$B$5:$B$204,MATCH(A116,Ana_Malzeme!$A$5:$A$204,0)),"KATALOGDA YOK"))</f>
        <v/>
      </c>
      <c r="C116" s="13" t="str">
        <f aca="false">IF(A116="","",IFERROR(INDEX(Ana_Malzeme!$D$5:$D$204,MATCH(A116,Ana_Malzeme!$A$5:$A$204,0)),""))</f>
        <v/>
      </c>
      <c r="D116" s="14"/>
      <c r="E116" s="10"/>
      <c r="F116" s="15" t="str">
        <f aca="false">IF(OR(A116="",D116=""),"",D116*IFERROR(INDEX(Kur!$B$5:$B$7,MATCH(E116,Kur!$A$5:$A$7,0)),0))</f>
        <v/>
      </c>
      <c r="G116" s="16"/>
      <c r="H116" s="10"/>
      <c r="I116" s="13" t="str">
        <f aca="false">IF(A116="","",IF(D116="","FİYAT GİRİLMEMİŞ",IF(B116="KATALOGDA YOK","KATALOGDA YOK","Tamam")))</f>
        <v/>
      </c>
    </row>
    <row r="117" customFormat="false" ht="15" hidden="false" customHeight="false" outlineLevel="0" collapsed="false">
      <c r="A117" s="10"/>
      <c r="B117" s="13" t="str">
        <f aca="false">IF(A117="","",IFERROR(INDEX(Ana_Malzeme!$B$5:$B$204,MATCH(A117,Ana_Malzeme!$A$5:$A$204,0)),"KATALOGDA YOK"))</f>
        <v/>
      </c>
      <c r="C117" s="13" t="str">
        <f aca="false">IF(A117="","",IFERROR(INDEX(Ana_Malzeme!$D$5:$D$204,MATCH(A117,Ana_Malzeme!$A$5:$A$204,0)),""))</f>
        <v/>
      </c>
      <c r="D117" s="14"/>
      <c r="E117" s="10"/>
      <c r="F117" s="15" t="str">
        <f aca="false">IF(OR(A117="",D117=""),"",D117*IFERROR(INDEX(Kur!$B$5:$B$7,MATCH(E117,Kur!$A$5:$A$7,0)),0))</f>
        <v/>
      </c>
      <c r="G117" s="16"/>
      <c r="H117" s="10"/>
      <c r="I117" s="13" t="str">
        <f aca="false">IF(A117="","",IF(D117="","FİYAT GİRİLMEMİŞ",IF(B117="KATALOGDA YOK","KATALOGDA YOK","Tamam")))</f>
        <v/>
      </c>
    </row>
    <row r="118" customFormat="false" ht="15" hidden="false" customHeight="false" outlineLevel="0" collapsed="false">
      <c r="A118" s="10"/>
      <c r="B118" s="13" t="str">
        <f aca="false">IF(A118="","",IFERROR(INDEX(Ana_Malzeme!$B$5:$B$204,MATCH(A118,Ana_Malzeme!$A$5:$A$204,0)),"KATALOGDA YOK"))</f>
        <v/>
      </c>
      <c r="C118" s="13" t="str">
        <f aca="false">IF(A118="","",IFERROR(INDEX(Ana_Malzeme!$D$5:$D$204,MATCH(A118,Ana_Malzeme!$A$5:$A$204,0)),""))</f>
        <v/>
      </c>
      <c r="D118" s="14"/>
      <c r="E118" s="10"/>
      <c r="F118" s="15" t="str">
        <f aca="false">IF(OR(A118="",D118=""),"",D118*IFERROR(INDEX(Kur!$B$5:$B$7,MATCH(E118,Kur!$A$5:$A$7,0)),0))</f>
        <v/>
      </c>
      <c r="G118" s="16"/>
      <c r="H118" s="10"/>
      <c r="I118" s="13" t="str">
        <f aca="false">IF(A118="","",IF(D118="","FİYAT GİRİLMEMİŞ",IF(B118="KATALOGDA YOK","KATALOGDA YOK","Tamam")))</f>
        <v/>
      </c>
    </row>
    <row r="119" customFormat="false" ht="15" hidden="false" customHeight="false" outlineLevel="0" collapsed="false">
      <c r="A119" s="10"/>
      <c r="B119" s="13" t="str">
        <f aca="false">IF(A119="","",IFERROR(INDEX(Ana_Malzeme!$B$5:$B$204,MATCH(A119,Ana_Malzeme!$A$5:$A$204,0)),"KATALOGDA YOK"))</f>
        <v/>
      </c>
      <c r="C119" s="13" t="str">
        <f aca="false">IF(A119="","",IFERROR(INDEX(Ana_Malzeme!$D$5:$D$204,MATCH(A119,Ana_Malzeme!$A$5:$A$204,0)),""))</f>
        <v/>
      </c>
      <c r="D119" s="14"/>
      <c r="E119" s="10"/>
      <c r="F119" s="15" t="str">
        <f aca="false">IF(OR(A119="",D119=""),"",D119*IFERROR(INDEX(Kur!$B$5:$B$7,MATCH(E119,Kur!$A$5:$A$7,0)),0))</f>
        <v/>
      </c>
      <c r="G119" s="16"/>
      <c r="H119" s="10"/>
      <c r="I119" s="13" t="str">
        <f aca="false">IF(A119="","",IF(D119="","FİYAT GİRİLMEMİŞ",IF(B119="KATALOGDA YOK","KATALOGDA YOK","Tamam")))</f>
        <v/>
      </c>
    </row>
    <row r="120" customFormat="false" ht="15" hidden="false" customHeight="false" outlineLevel="0" collapsed="false">
      <c r="A120" s="10"/>
      <c r="B120" s="13" t="str">
        <f aca="false">IF(A120="","",IFERROR(INDEX(Ana_Malzeme!$B$5:$B$204,MATCH(A120,Ana_Malzeme!$A$5:$A$204,0)),"KATALOGDA YOK"))</f>
        <v/>
      </c>
      <c r="C120" s="13" t="str">
        <f aca="false">IF(A120="","",IFERROR(INDEX(Ana_Malzeme!$D$5:$D$204,MATCH(A120,Ana_Malzeme!$A$5:$A$204,0)),""))</f>
        <v/>
      </c>
      <c r="D120" s="14"/>
      <c r="E120" s="10"/>
      <c r="F120" s="15" t="str">
        <f aca="false">IF(OR(A120="",D120=""),"",D120*IFERROR(INDEX(Kur!$B$5:$B$7,MATCH(E120,Kur!$A$5:$A$7,0)),0))</f>
        <v/>
      </c>
      <c r="G120" s="16"/>
      <c r="H120" s="10"/>
      <c r="I120" s="13" t="str">
        <f aca="false">IF(A120="","",IF(D120="","FİYAT GİRİLMEMİŞ",IF(B120="KATALOGDA YOK","KATALOGDA YOK","Tamam")))</f>
        <v/>
      </c>
    </row>
    <row r="121" customFormat="false" ht="15" hidden="false" customHeight="false" outlineLevel="0" collapsed="false">
      <c r="A121" s="10"/>
      <c r="B121" s="13" t="str">
        <f aca="false">IF(A121="","",IFERROR(INDEX(Ana_Malzeme!$B$5:$B$204,MATCH(A121,Ana_Malzeme!$A$5:$A$204,0)),"KATALOGDA YOK"))</f>
        <v/>
      </c>
      <c r="C121" s="13" t="str">
        <f aca="false">IF(A121="","",IFERROR(INDEX(Ana_Malzeme!$D$5:$D$204,MATCH(A121,Ana_Malzeme!$A$5:$A$204,0)),""))</f>
        <v/>
      </c>
      <c r="D121" s="14"/>
      <c r="E121" s="10"/>
      <c r="F121" s="15" t="str">
        <f aca="false">IF(OR(A121="",D121=""),"",D121*IFERROR(INDEX(Kur!$B$5:$B$7,MATCH(E121,Kur!$A$5:$A$7,0)),0))</f>
        <v/>
      </c>
      <c r="G121" s="16"/>
      <c r="H121" s="10"/>
      <c r="I121" s="13" t="str">
        <f aca="false">IF(A121="","",IF(D121="","FİYAT GİRİLMEMİŞ",IF(B121="KATALOGDA YOK","KATALOGDA YOK","Tamam")))</f>
        <v/>
      </c>
    </row>
    <row r="122" customFormat="false" ht="15" hidden="false" customHeight="false" outlineLevel="0" collapsed="false">
      <c r="A122" s="10"/>
      <c r="B122" s="13" t="str">
        <f aca="false">IF(A122="","",IFERROR(INDEX(Ana_Malzeme!$B$5:$B$204,MATCH(A122,Ana_Malzeme!$A$5:$A$204,0)),"KATALOGDA YOK"))</f>
        <v/>
      </c>
      <c r="C122" s="13" t="str">
        <f aca="false">IF(A122="","",IFERROR(INDEX(Ana_Malzeme!$D$5:$D$204,MATCH(A122,Ana_Malzeme!$A$5:$A$204,0)),""))</f>
        <v/>
      </c>
      <c r="D122" s="14"/>
      <c r="E122" s="10"/>
      <c r="F122" s="15" t="str">
        <f aca="false">IF(OR(A122="",D122=""),"",D122*IFERROR(INDEX(Kur!$B$5:$B$7,MATCH(E122,Kur!$A$5:$A$7,0)),0))</f>
        <v/>
      </c>
      <c r="G122" s="16"/>
      <c r="H122" s="10"/>
      <c r="I122" s="13" t="str">
        <f aca="false">IF(A122="","",IF(D122="","FİYAT GİRİLMEMİŞ",IF(B122="KATALOGDA YOK","KATALOGDA YOK","Tamam")))</f>
        <v/>
      </c>
    </row>
    <row r="123" customFormat="false" ht="15" hidden="false" customHeight="false" outlineLevel="0" collapsed="false">
      <c r="A123" s="10"/>
      <c r="B123" s="13" t="str">
        <f aca="false">IF(A123="","",IFERROR(INDEX(Ana_Malzeme!$B$5:$B$204,MATCH(A123,Ana_Malzeme!$A$5:$A$204,0)),"KATALOGDA YOK"))</f>
        <v/>
      </c>
      <c r="C123" s="13" t="str">
        <f aca="false">IF(A123="","",IFERROR(INDEX(Ana_Malzeme!$D$5:$D$204,MATCH(A123,Ana_Malzeme!$A$5:$A$204,0)),""))</f>
        <v/>
      </c>
      <c r="D123" s="14"/>
      <c r="E123" s="10"/>
      <c r="F123" s="15" t="str">
        <f aca="false">IF(OR(A123="",D123=""),"",D123*IFERROR(INDEX(Kur!$B$5:$B$7,MATCH(E123,Kur!$A$5:$A$7,0)),0))</f>
        <v/>
      </c>
      <c r="G123" s="16"/>
      <c r="H123" s="10"/>
      <c r="I123" s="13" t="str">
        <f aca="false">IF(A123="","",IF(D123="","FİYAT GİRİLMEMİŞ",IF(B123="KATALOGDA YOK","KATALOGDA YOK","Tamam")))</f>
        <v/>
      </c>
    </row>
    <row r="124" customFormat="false" ht="15" hidden="false" customHeight="false" outlineLevel="0" collapsed="false">
      <c r="A124" s="10"/>
      <c r="B124" s="13" t="str">
        <f aca="false">IF(A124="","",IFERROR(INDEX(Ana_Malzeme!$B$5:$B$204,MATCH(A124,Ana_Malzeme!$A$5:$A$204,0)),"KATALOGDA YOK"))</f>
        <v/>
      </c>
      <c r="C124" s="13" t="str">
        <f aca="false">IF(A124="","",IFERROR(INDEX(Ana_Malzeme!$D$5:$D$204,MATCH(A124,Ana_Malzeme!$A$5:$A$204,0)),""))</f>
        <v/>
      </c>
      <c r="D124" s="14"/>
      <c r="E124" s="10"/>
      <c r="F124" s="15" t="str">
        <f aca="false">IF(OR(A124="",D124=""),"",D124*IFERROR(INDEX(Kur!$B$5:$B$7,MATCH(E124,Kur!$A$5:$A$7,0)),0))</f>
        <v/>
      </c>
      <c r="G124" s="16"/>
      <c r="H124" s="10"/>
      <c r="I124" s="13" t="str">
        <f aca="false">IF(A124="","",IF(D124="","FİYAT GİRİLMEMİŞ",IF(B124="KATALOGDA YOK","KATALOGDA YOK","Tamam")))</f>
        <v/>
      </c>
    </row>
    <row r="125" customFormat="false" ht="15" hidden="false" customHeight="false" outlineLevel="0" collapsed="false">
      <c r="A125" s="10"/>
      <c r="B125" s="13" t="str">
        <f aca="false">IF(A125="","",IFERROR(INDEX(Ana_Malzeme!$B$5:$B$204,MATCH(A125,Ana_Malzeme!$A$5:$A$204,0)),"KATALOGDA YOK"))</f>
        <v/>
      </c>
      <c r="C125" s="13" t="str">
        <f aca="false">IF(A125="","",IFERROR(INDEX(Ana_Malzeme!$D$5:$D$204,MATCH(A125,Ana_Malzeme!$A$5:$A$204,0)),""))</f>
        <v/>
      </c>
      <c r="D125" s="14"/>
      <c r="E125" s="10"/>
      <c r="F125" s="15" t="str">
        <f aca="false">IF(OR(A125="",D125=""),"",D125*IFERROR(INDEX(Kur!$B$5:$B$7,MATCH(E125,Kur!$A$5:$A$7,0)),0))</f>
        <v/>
      </c>
      <c r="G125" s="16"/>
      <c r="H125" s="10"/>
      <c r="I125" s="13" t="str">
        <f aca="false">IF(A125="","",IF(D125="","FİYAT GİRİLMEMİŞ",IF(B125="KATALOGDA YOK","KATALOGDA YOK","Tamam")))</f>
        <v/>
      </c>
    </row>
    <row r="126" customFormat="false" ht="15" hidden="false" customHeight="false" outlineLevel="0" collapsed="false">
      <c r="A126" s="10"/>
      <c r="B126" s="13" t="str">
        <f aca="false">IF(A126="","",IFERROR(INDEX(Ana_Malzeme!$B$5:$B$204,MATCH(A126,Ana_Malzeme!$A$5:$A$204,0)),"KATALOGDA YOK"))</f>
        <v/>
      </c>
      <c r="C126" s="13" t="str">
        <f aca="false">IF(A126="","",IFERROR(INDEX(Ana_Malzeme!$D$5:$D$204,MATCH(A126,Ana_Malzeme!$A$5:$A$204,0)),""))</f>
        <v/>
      </c>
      <c r="D126" s="14"/>
      <c r="E126" s="10"/>
      <c r="F126" s="15" t="str">
        <f aca="false">IF(OR(A126="",D126=""),"",D126*IFERROR(INDEX(Kur!$B$5:$B$7,MATCH(E126,Kur!$A$5:$A$7,0)),0))</f>
        <v/>
      </c>
      <c r="G126" s="16"/>
      <c r="H126" s="10"/>
      <c r="I126" s="13" t="str">
        <f aca="false">IF(A126="","",IF(D126="","FİYAT GİRİLMEMİŞ",IF(B126="KATALOGDA YOK","KATALOGDA YOK","Tamam")))</f>
        <v/>
      </c>
    </row>
    <row r="127" customFormat="false" ht="15" hidden="false" customHeight="false" outlineLevel="0" collapsed="false">
      <c r="A127" s="10"/>
      <c r="B127" s="13" t="str">
        <f aca="false">IF(A127="","",IFERROR(INDEX(Ana_Malzeme!$B$5:$B$204,MATCH(A127,Ana_Malzeme!$A$5:$A$204,0)),"KATALOGDA YOK"))</f>
        <v/>
      </c>
      <c r="C127" s="13" t="str">
        <f aca="false">IF(A127="","",IFERROR(INDEX(Ana_Malzeme!$D$5:$D$204,MATCH(A127,Ana_Malzeme!$A$5:$A$204,0)),""))</f>
        <v/>
      </c>
      <c r="D127" s="14"/>
      <c r="E127" s="10"/>
      <c r="F127" s="15" t="str">
        <f aca="false">IF(OR(A127="",D127=""),"",D127*IFERROR(INDEX(Kur!$B$5:$B$7,MATCH(E127,Kur!$A$5:$A$7,0)),0))</f>
        <v/>
      </c>
      <c r="G127" s="16"/>
      <c r="H127" s="10"/>
      <c r="I127" s="13" t="str">
        <f aca="false">IF(A127="","",IF(D127="","FİYAT GİRİLMEMİŞ",IF(B127="KATALOGDA YOK","KATALOGDA YOK","Tamam")))</f>
        <v/>
      </c>
    </row>
    <row r="128" customFormat="false" ht="15" hidden="false" customHeight="false" outlineLevel="0" collapsed="false">
      <c r="A128" s="10"/>
      <c r="B128" s="13" t="str">
        <f aca="false">IF(A128="","",IFERROR(INDEX(Ana_Malzeme!$B$5:$B$204,MATCH(A128,Ana_Malzeme!$A$5:$A$204,0)),"KATALOGDA YOK"))</f>
        <v/>
      </c>
      <c r="C128" s="13" t="str">
        <f aca="false">IF(A128="","",IFERROR(INDEX(Ana_Malzeme!$D$5:$D$204,MATCH(A128,Ana_Malzeme!$A$5:$A$204,0)),""))</f>
        <v/>
      </c>
      <c r="D128" s="14"/>
      <c r="E128" s="10"/>
      <c r="F128" s="15" t="str">
        <f aca="false">IF(OR(A128="",D128=""),"",D128*IFERROR(INDEX(Kur!$B$5:$B$7,MATCH(E128,Kur!$A$5:$A$7,0)),0))</f>
        <v/>
      </c>
      <c r="G128" s="16"/>
      <c r="H128" s="10"/>
      <c r="I128" s="13" t="str">
        <f aca="false">IF(A128="","",IF(D128="","FİYAT GİRİLMEMİŞ",IF(B128="KATALOGDA YOK","KATALOGDA YOK","Tamam")))</f>
        <v/>
      </c>
    </row>
    <row r="129" customFormat="false" ht="15" hidden="false" customHeight="false" outlineLevel="0" collapsed="false">
      <c r="A129" s="10"/>
      <c r="B129" s="13" t="str">
        <f aca="false">IF(A129="","",IFERROR(INDEX(Ana_Malzeme!$B$5:$B$204,MATCH(A129,Ana_Malzeme!$A$5:$A$204,0)),"KATALOGDA YOK"))</f>
        <v/>
      </c>
      <c r="C129" s="13" t="str">
        <f aca="false">IF(A129="","",IFERROR(INDEX(Ana_Malzeme!$D$5:$D$204,MATCH(A129,Ana_Malzeme!$A$5:$A$204,0)),""))</f>
        <v/>
      </c>
      <c r="D129" s="14"/>
      <c r="E129" s="10"/>
      <c r="F129" s="15" t="str">
        <f aca="false">IF(OR(A129="",D129=""),"",D129*IFERROR(INDEX(Kur!$B$5:$B$7,MATCH(E129,Kur!$A$5:$A$7,0)),0))</f>
        <v/>
      </c>
      <c r="G129" s="16"/>
      <c r="H129" s="10"/>
      <c r="I129" s="13" t="str">
        <f aca="false">IF(A129="","",IF(D129="","FİYAT GİRİLMEMİŞ",IF(B129="KATALOGDA YOK","KATALOGDA YOK","Tamam")))</f>
        <v/>
      </c>
    </row>
    <row r="130" customFormat="false" ht="15" hidden="false" customHeight="false" outlineLevel="0" collapsed="false">
      <c r="A130" s="10"/>
      <c r="B130" s="13" t="str">
        <f aca="false">IF(A130="","",IFERROR(INDEX(Ana_Malzeme!$B$5:$B$204,MATCH(A130,Ana_Malzeme!$A$5:$A$204,0)),"KATALOGDA YOK"))</f>
        <v/>
      </c>
      <c r="C130" s="13" t="str">
        <f aca="false">IF(A130="","",IFERROR(INDEX(Ana_Malzeme!$D$5:$D$204,MATCH(A130,Ana_Malzeme!$A$5:$A$204,0)),""))</f>
        <v/>
      </c>
      <c r="D130" s="14"/>
      <c r="E130" s="10"/>
      <c r="F130" s="15" t="str">
        <f aca="false">IF(OR(A130="",D130=""),"",D130*IFERROR(INDEX(Kur!$B$5:$B$7,MATCH(E130,Kur!$A$5:$A$7,0)),0))</f>
        <v/>
      </c>
      <c r="G130" s="16"/>
      <c r="H130" s="10"/>
      <c r="I130" s="13" t="str">
        <f aca="false">IF(A130="","",IF(D130="","FİYAT GİRİLMEMİŞ",IF(B130="KATALOGDA YOK","KATALOGDA YOK","Tamam")))</f>
        <v/>
      </c>
    </row>
    <row r="131" customFormat="false" ht="15" hidden="false" customHeight="false" outlineLevel="0" collapsed="false">
      <c r="A131" s="10"/>
      <c r="B131" s="13" t="str">
        <f aca="false">IF(A131="","",IFERROR(INDEX(Ana_Malzeme!$B$5:$B$204,MATCH(A131,Ana_Malzeme!$A$5:$A$204,0)),"KATALOGDA YOK"))</f>
        <v/>
      </c>
      <c r="C131" s="13" t="str">
        <f aca="false">IF(A131="","",IFERROR(INDEX(Ana_Malzeme!$D$5:$D$204,MATCH(A131,Ana_Malzeme!$A$5:$A$204,0)),""))</f>
        <v/>
      </c>
      <c r="D131" s="14"/>
      <c r="E131" s="10"/>
      <c r="F131" s="15" t="str">
        <f aca="false">IF(OR(A131="",D131=""),"",D131*IFERROR(INDEX(Kur!$B$5:$B$7,MATCH(E131,Kur!$A$5:$A$7,0)),0))</f>
        <v/>
      </c>
      <c r="G131" s="16"/>
      <c r="H131" s="10"/>
      <c r="I131" s="13" t="str">
        <f aca="false">IF(A131="","",IF(D131="","FİYAT GİRİLMEMİŞ",IF(B131="KATALOGDA YOK","KATALOGDA YOK","Tamam")))</f>
        <v/>
      </c>
    </row>
    <row r="132" customFormat="false" ht="15" hidden="false" customHeight="false" outlineLevel="0" collapsed="false">
      <c r="A132" s="10"/>
      <c r="B132" s="13" t="str">
        <f aca="false">IF(A132="","",IFERROR(INDEX(Ana_Malzeme!$B$5:$B$204,MATCH(A132,Ana_Malzeme!$A$5:$A$204,0)),"KATALOGDA YOK"))</f>
        <v/>
      </c>
      <c r="C132" s="13" t="str">
        <f aca="false">IF(A132="","",IFERROR(INDEX(Ana_Malzeme!$D$5:$D$204,MATCH(A132,Ana_Malzeme!$A$5:$A$204,0)),""))</f>
        <v/>
      </c>
      <c r="D132" s="14"/>
      <c r="E132" s="10"/>
      <c r="F132" s="15" t="str">
        <f aca="false">IF(OR(A132="",D132=""),"",D132*IFERROR(INDEX(Kur!$B$5:$B$7,MATCH(E132,Kur!$A$5:$A$7,0)),0))</f>
        <v/>
      </c>
      <c r="G132" s="16"/>
      <c r="H132" s="10"/>
      <c r="I132" s="13" t="str">
        <f aca="false">IF(A132="","",IF(D132="","FİYAT GİRİLMEMİŞ",IF(B132="KATALOGDA YOK","KATALOGDA YOK","Tamam")))</f>
        <v/>
      </c>
    </row>
    <row r="133" customFormat="false" ht="15" hidden="false" customHeight="false" outlineLevel="0" collapsed="false">
      <c r="A133" s="10"/>
      <c r="B133" s="13" t="str">
        <f aca="false">IF(A133="","",IFERROR(INDEX(Ana_Malzeme!$B$5:$B$204,MATCH(A133,Ana_Malzeme!$A$5:$A$204,0)),"KATALOGDA YOK"))</f>
        <v/>
      </c>
      <c r="C133" s="13" t="str">
        <f aca="false">IF(A133="","",IFERROR(INDEX(Ana_Malzeme!$D$5:$D$204,MATCH(A133,Ana_Malzeme!$A$5:$A$204,0)),""))</f>
        <v/>
      </c>
      <c r="D133" s="14"/>
      <c r="E133" s="10"/>
      <c r="F133" s="15" t="str">
        <f aca="false">IF(OR(A133="",D133=""),"",D133*IFERROR(INDEX(Kur!$B$5:$B$7,MATCH(E133,Kur!$A$5:$A$7,0)),0))</f>
        <v/>
      </c>
      <c r="G133" s="16"/>
      <c r="H133" s="10"/>
      <c r="I133" s="13" t="str">
        <f aca="false">IF(A133="","",IF(D133="","FİYAT GİRİLMEMİŞ",IF(B133="KATALOGDA YOK","KATALOGDA YOK","Tamam")))</f>
        <v/>
      </c>
    </row>
    <row r="134" customFormat="false" ht="15" hidden="false" customHeight="false" outlineLevel="0" collapsed="false">
      <c r="A134" s="10"/>
      <c r="B134" s="13" t="str">
        <f aca="false">IF(A134="","",IFERROR(INDEX(Ana_Malzeme!$B$5:$B$204,MATCH(A134,Ana_Malzeme!$A$5:$A$204,0)),"KATALOGDA YOK"))</f>
        <v/>
      </c>
      <c r="C134" s="13" t="str">
        <f aca="false">IF(A134="","",IFERROR(INDEX(Ana_Malzeme!$D$5:$D$204,MATCH(A134,Ana_Malzeme!$A$5:$A$204,0)),""))</f>
        <v/>
      </c>
      <c r="D134" s="14"/>
      <c r="E134" s="10"/>
      <c r="F134" s="15" t="str">
        <f aca="false">IF(OR(A134="",D134=""),"",D134*IFERROR(INDEX(Kur!$B$5:$B$7,MATCH(E134,Kur!$A$5:$A$7,0)),0))</f>
        <v/>
      </c>
      <c r="G134" s="16"/>
      <c r="H134" s="10"/>
      <c r="I134" s="13" t="str">
        <f aca="false">IF(A134="","",IF(D134="","FİYAT GİRİLMEMİŞ",IF(B134="KATALOGDA YOK","KATALOGDA YOK","Tamam")))</f>
        <v/>
      </c>
    </row>
    <row r="135" customFormat="false" ht="15" hidden="false" customHeight="false" outlineLevel="0" collapsed="false">
      <c r="A135" s="10"/>
      <c r="B135" s="13" t="str">
        <f aca="false">IF(A135="","",IFERROR(INDEX(Ana_Malzeme!$B$5:$B$204,MATCH(A135,Ana_Malzeme!$A$5:$A$204,0)),"KATALOGDA YOK"))</f>
        <v/>
      </c>
      <c r="C135" s="13" t="str">
        <f aca="false">IF(A135="","",IFERROR(INDEX(Ana_Malzeme!$D$5:$D$204,MATCH(A135,Ana_Malzeme!$A$5:$A$204,0)),""))</f>
        <v/>
      </c>
      <c r="D135" s="14"/>
      <c r="E135" s="10"/>
      <c r="F135" s="15" t="str">
        <f aca="false">IF(OR(A135="",D135=""),"",D135*IFERROR(INDEX(Kur!$B$5:$B$7,MATCH(E135,Kur!$A$5:$A$7,0)),0))</f>
        <v/>
      </c>
      <c r="G135" s="16"/>
      <c r="H135" s="10"/>
      <c r="I135" s="13" t="str">
        <f aca="false">IF(A135="","",IF(D135="","FİYAT GİRİLMEMİŞ",IF(B135="KATALOGDA YOK","KATALOGDA YOK","Tamam")))</f>
        <v/>
      </c>
    </row>
    <row r="136" customFormat="false" ht="15" hidden="false" customHeight="false" outlineLevel="0" collapsed="false">
      <c r="A136" s="10"/>
      <c r="B136" s="13" t="str">
        <f aca="false">IF(A136="","",IFERROR(INDEX(Ana_Malzeme!$B$5:$B$204,MATCH(A136,Ana_Malzeme!$A$5:$A$204,0)),"KATALOGDA YOK"))</f>
        <v/>
      </c>
      <c r="C136" s="13" t="str">
        <f aca="false">IF(A136="","",IFERROR(INDEX(Ana_Malzeme!$D$5:$D$204,MATCH(A136,Ana_Malzeme!$A$5:$A$204,0)),""))</f>
        <v/>
      </c>
      <c r="D136" s="14"/>
      <c r="E136" s="10"/>
      <c r="F136" s="15" t="str">
        <f aca="false">IF(OR(A136="",D136=""),"",D136*IFERROR(INDEX(Kur!$B$5:$B$7,MATCH(E136,Kur!$A$5:$A$7,0)),0))</f>
        <v/>
      </c>
      <c r="G136" s="16"/>
      <c r="H136" s="10"/>
      <c r="I136" s="13" t="str">
        <f aca="false">IF(A136="","",IF(D136="","FİYAT GİRİLMEMİŞ",IF(B136="KATALOGDA YOK","KATALOGDA YOK","Tamam")))</f>
        <v/>
      </c>
    </row>
    <row r="137" customFormat="false" ht="15" hidden="false" customHeight="false" outlineLevel="0" collapsed="false">
      <c r="A137" s="10"/>
      <c r="B137" s="13" t="str">
        <f aca="false">IF(A137="","",IFERROR(INDEX(Ana_Malzeme!$B$5:$B$204,MATCH(A137,Ana_Malzeme!$A$5:$A$204,0)),"KATALOGDA YOK"))</f>
        <v/>
      </c>
      <c r="C137" s="13" t="str">
        <f aca="false">IF(A137="","",IFERROR(INDEX(Ana_Malzeme!$D$5:$D$204,MATCH(A137,Ana_Malzeme!$A$5:$A$204,0)),""))</f>
        <v/>
      </c>
      <c r="D137" s="14"/>
      <c r="E137" s="10"/>
      <c r="F137" s="15" t="str">
        <f aca="false">IF(OR(A137="",D137=""),"",D137*IFERROR(INDEX(Kur!$B$5:$B$7,MATCH(E137,Kur!$A$5:$A$7,0)),0))</f>
        <v/>
      </c>
      <c r="G137" s="16"/>
      <c r="H137" s="10"/>
      <c r="I137" s="13" t="str">
        <f aca="false">IF(A137="","",IF(D137="","FİYAT GİRİLMEMİŞ",IF(B137="KATALOGDA YOK","KATALOGDA YOK","Tamam")))</f>
        <v/>
      </c>
    </row>
    <row r="138" customFormat="false" ht="15" hidden="false" customHeight="false" outlineLevel="0" collapsed="false">
      <c r="A138" s="10"/>
      <c r="B138" s="13" t="str">
        <f aca="false">IF(A138="","",IFERROR(INDEX(Ana_Malzeme!$B$5:$B$204,MATCH(A138,Ana_Malzeme!$A$5:$A$204,0)),"KATALOGDA YOK"))</f>
        <v/>
      </c>
      <c r="C138" s="13" t="str">
        <f aca="false">IF(A138="","",IFERROR(INDEX(Ana_Malzeme!$D$5:$D$204,MATCH(A138,Ana_Malzeme!$A$5:$A$204,0)),""))</f>
        <v/>
      </c>
      <c r="D138" s="14"/>
      <c r="E138" s="10"/>
      <c r="F138" s="15" t="str">
        <f aca="false">IF(OR(A138="",D138=""),"",D138*IFERROR(INDEX(Kur!$B$5:$B$7,MATCH(E138,Kur!$A$5:$A$7,0)),0))</f>
        <v/>
      </c>
      <c r="G138" s="16"/>
      <c r="H138" s="10"/>
      <c r="I138" s="13" t="str">
        <f aca="false">IF(A138="","",IF(D138="","FİYAT GİRİLMEMİŞ",IF(B138="KATALOGDA YOK","KATALOGDA YOK","Tamam")))</f>
        <v/>
      </c>
    </row>
    <row r="139" customFormat="false" ht="15" hidden="false" customHeight="false" outlineLevel="0" collapsed="false">
      <c r="A139" s="10"/>
      <c r="B139" s="13" t="str">
        <f aca="false">IF(A139="","",IFERROR(INDEX(Ana_Malzeme!$B$5:$B$204,MATCH(A139,Ana_Malzeme!$A$5:$A$204,0)),"KATALOGDA YOK"))</f>
        <v/>
      </c>
      <c r="C139" s="13" t="str">
        <f aca="false">IF(A139="","",IFERROR(INDEX(Ana_Malzeme!$D$5:$D$204,MATCH(A139,Ana_Malzeme!$A$5:$A$204,0)),""))</f>
        <v/>
      </c>
      <c r="D139" s="14"/>
      <c r="E139" s="10"/>
      <c r="F139" s="15" t="str">
        <f aca="false">IF(OR(A139="",D139=""),"",D139*IFERROR(INDEX(Kur!$B$5:$B$7,MATCH(E139,Kur!$A$5:$A$7,0)),0))</f>
        <v/>
      </c>
      <c r="G139" s="16"/>
      <c r="H139" s="10"/>
      <c r="I139" s="13" t="str">
        <f aca="false">IF(A139="","",IF(D139="","FİYAT GİRİLMEMİŞ",IF(B139="KATALOGDA YOK","KATALOGDA YOK","Tamam")))</f>
        <v/>
      </c>
    </row>
    <row r="140" customFormat="false" ht="15" hidden="false" customHeight="false" outlineLevel="0" collapsed="false">
      <c r="A140" s="10"/>
      <c r="B140" s="13" t="str">
        <f aca="false">IF(A140="","",IFERROR(INDEX(Ana_Malzeme!$B$5:$B$204,MATCH(A140,Ana_Malzeme!$A$5:$A$204,0)),"KATALOGDA YOK"))</f>
        <v/>
      </c>
      <c r="C140" s="13" t="str">
        <f aca="false">IF(A140="","",IFERROR(INDEX(Ana_Malzeme!$D$5:$D$204,MATCH(A140,Ana_Malzeme!$A$5:$A$204,0)),""))</f>
        <v/>
      </c>
      <c r="D140" s="14"/>
      <c r="E140" s="10"/>
      <c r="F140" s="15" t="str">
        <f aca="false">IF(OR(A140="",D140=""),"",D140*IFERROR(INDEX(Kur!$B$5:$B$7,MATCH(E140,Kur!$A$5:$A$7,0)),0))</f>
        <v/>
      </c>
      <c r="G140" s="16"/>
      <c r="H140" s="10"/>
      <c r="I140" s="13" t="str">
        <f aca="false">IF(A140="","",IF(D140="","FİYAT GİRİLMEMİŞ",IF(B140="KATALOGDA YOK","KATALOGDA YOK","Tamam")))</f>
        <v/>
      </c>
    </row>
    <row r="141" customFormat="false" ht="15" hidden="false" customHeight="false" outlineLevel="0" collapsed="false">
      <c r="A141" s="10"/>
      <c r="B141" s="13" t="str">
        <f aca="false">IF(A141="","",IFERROR(INDEX(Ana_Malzeme!$B$5:$B$204,MATCH(A141,Ana_Malzeme!$A$5:$A$204,0)),"KATALOGDA YOK"))</f>
        <v/>
      </c>
      <c r="C141" s="13" t="str">
        <f aca="false">IF(A141="","",IFERROR(INDEX(Ana_Malzeme!$D$5:$D$204,MATCH(A141,Ana_Malzeme!$A$5:$A$204,0)),""))</f>
        <v/>
      </c>
      <c r="D141" s="14"/>
      <c r="E141" s="10"/>
      <c r="F141" s="15" t="str">
        <f aca="false">IF(OR(A141="",D141=""),"",D141*IFERROR(INDEX(Kur!$B$5:$B$7,MATCH(E141,Kur!$A$5:$A$7,0)),0))</f>
        <v/>
      </c>
      <c r="G141" s="16"/>
      <c r="H141" s="10"/>
      <c r="I141" s="13" t="str">
        <f aca="false">IF(A141="","",IF(D141="","FİYAT GİRİLMEMİŞ",IF(B141="KATALOGDA YOK","KATALOGDA YOK","Tamam")))</f>
        <v/>
      </c>
    </row>
    <row r="142" customFormat="false" ht="15" hidden="false" customHeight="false" outlineLevel="0" collapsed="false">
      <c r="A142" s="10"/>
      <c r="B142" s="13" t="str">
        <f aca="false">IF(A142="","",IFERROR(INDEX(Ana_Malzeme!$B$5:$B$204,MATCH(A142,Ana_Malzeme!$A$5:$A$204,0)),"KATALOGDA YOK"))</f>
        <v/>
      </c>
      <c r="C142" s="13" t="str">
        <f aca="false">IF(A142="","",IFERROR(INDEX(Ana_Malzeme!$D$5:$D$204,MATCH(A142,Ana_Malzeme!$A$5:$A$204,0)),""))</f>
        <v/>
      </c>
      <c r="D142" s="14"/>
      <c r="E142" s="10"/>
      <c r="F142" s="15" t="str">
        <f aca="false">IF(OR(A142="",D142=""),"",D142*IFERROR(INDEX(Kur!$B$5:$B$7,MATCH(E142,Kur!$A$5:$A$7,0)),0))</f>
        <v/>
      </c>
      <c r="G142" s="16"/>
      <c r="H142" s="10"/>
      <c r="I142" s="13" t="str">
        <f aca="false">IF(A142="","",IF(D142="","FİYAT GİRİLMEMİŞ",IF(B142="KATALOGDA YOK","KATALOGDA YOK","Tamam")))</f>
        <v/>
      </c>
    </row>
    <row r="143" customFormat="false" ht="15" hidden="false" customHeight="false" outlineLevel="0" collapsed="false">
      <c r="A143" s="10"/>
      <c r="B143" s="13" t="str">
        <f aca="false">IF(A143="","",IFERROR(INDEX(Ana_Malzeme!$B$5:$B$204,MATCH(A143,Ana_Malzeme!$A$5:$A$204,0)),"KATALOGDA YOK"))</f>
        <v/>
      </c>
      <c r="C143" s="13" t="str">
        <f aca="false">IF(A143="","",IFERROR(INDEX(Ana_Malzeme!$D$5:$D$204,MATCH(A143,Ana_Malzeme!$A$5:$A$204,0)),""))</f>
        <v/>
      </c>
      <c r="D143" s="14"/>
      <c r="E143" s="10"/>
      <c r="F143" s="15" t="str">
        <f aca="false">IF(OR(A143="",D143=""),"",D143*IFERROR(INDEX(Kur!$B$5:$B$7,MATCH(E143,Kur!$A$5:$A$7,0)),0))</f>
        <v/>
      </c>
      <c r="G143" s="16"/>
      <c r="H143" s="10"/>
      <c r="I143" s="13" t="str">
        <f aca="false">IF(A143="","",IF(D143="","FİYAT GİRİLMEMİŞ",IF(B143="KATALOGDA YOK","KATALOGDA YOK","Tamam")))</f>
        <v/>
      </c>
    </row>
    <row r="144" customFormat="false" ht="15" hidden="false" customHeight="false" outlineLevel="0" collapsed="false">
      <c r="A144" s="10"/>
      <c r="B144" s="13" t="str">
        <f aca="false">IF(A144="","",IFERROR(INDEX(Ana_Malzeme!$B$5:$B$204,MATCH(A144,Ana_Malzeme!$A$5:$A$204,0)),"KATALOGDA YOK"))</f>
        <v/>
      </c>
      <c r="C144" s="13" t="str">
        <f aca="false">IF(A144="","",IFERROR(INDEX(Ana_Malzeme!$D$5:$D$204,MATCH(A144,Ana_Malzeme!$A$5:$A$204,0)),""))</f>
        <v/>
      </c>
      <c r="D144" s="14"/>
      <c r="E144" s="10"/>
      <c r="F144" s="15" t="str">
        <f aca="false">IF(OR(A144="",D144=""),"",D144*IFERROR(INDEX(Kur!$B$5:$B$7,MATCH(E144,Kur!$A$5:$A$7,0)),0))</f>
        <v/>
      </c>
      <c r="G144" s="16"/>
      <c r="H144" s="10"/>
      <c r="I144" s="13" t="str">
        <f aca="false">IF(A144="","",IF(D144="","FİYAT GİRİLMEMİŞ",IF(B144="KATALOGDA YOK","KATALOGDA YOK","Tamam")))</f>
        <v/>
      </c>
    </row>
    <row r="145" customFormat="false" ht="15" hidden="false" customHeight="false" outlineLevel="0" collapsed="false">
      <c r="A145" s="10"/>
      <c r="B145" s="13" t="str">
        <f aca="false">IF(A145="","",IFERROR(INDEX(Ana_Malzeme!$B$5:$B$204,MATCH(A145,Ana_Malzeme!$A$5:$A$204,0)),"KATALOGDA YOK"))</f>
        <v/>
      </c>
      <c r="C145" s="13" t="str">
        <f aca="false">IF(A145="","",IFERROR(INDEX(Ana_Malzeme!$D$5:$D$204,MATCH(A145,Ana_Malzeme!$A$5:$A$204,0)),""))</f>
        <v/>
      </c>
      <c r="D145" s="14"/>
      <c r="E145" s="10"/>
      <c r="F145" s="15" t="str">
        <f aca="false">IF(OR(A145="",D145=""),"",D145*IFERROR(INDEX(Kur!$B$5:$B$7,MATCH(E145,Kur!$A$5:$A$7,0)),0))</f>
        <v/>
      </c>
      <c r="G145" s="16"/>
      <c r="H145" s="10"/>
      <c r="I145" s="13" t="str">
        <f aca="false">IF(A145="","",IF(D145="","FİYAT GİRİLMEMİŞ",IF(B145="KATALOGDA YOK","KATALOGDA YOK","Tamam")))</f>
        <v/>
      </c>
    </row>
    <row r="146" customFormat="false" ht="15" hidden="false" customHeight="false" outlineLevel="0" collapsed="false">
      <c r="A146" s="10"/>
      <c r="B146" s="13" t="str">
        <f aca="false">IF(A146="","",IFERROR(INDEX(Ana_Malzeme!$B$5:$B$204,MATCH(A146,Ana_Malzeme!$A$5:$A$204,0)),"KATALOGDA YOK"))</f>
        <v/>
      </c>
      <c r="C146" s="13" t="str">
        <f aca="false">IF(A146="","",IFERROR(INDEX(Ana_Malzeme!$D$5:$D$204,MATCH(A146,Ana_Malzeme!$A$5:$A$204,0)),""))</f>
        <v/>
      </c>
      <c r="D146" s="14"/>
      <c r="E146" s="10"/>
      <c r="F146" s="15" t="str">
        <f aca="false">IF(OR(A146="",D146=""),"",D146*IFERROR(INDEX(Kur!$B$5:$B$7,MATCH(E146,Kur!$A$5:$A$7,0)),0))</f>
        <v/>
      </c>
      <c r="G146" s="16"/>
      <c r="H146" s="10"/>
      <c r="I146" s="13" t="str">
        <f aca="false">IF(A146="","",IF(D146="","FİYAT GİRİLMEMİŞ",IF(B146="KATALOGDA YOK","KATALOGDA YOK","Tamam")))</f>
        <v/>
      </c>
    </row>
    <row r="147" customFormat="false" ht="15" hidden="false" customHeight="false" outlineLevel="0" collapsed="false">
      <c r="A147" s="10"/>
      <c r="B147" s="13" t="str">
        <f aca="false">IF(A147="","",IFERROR(INDEX(Ana_Malzeme!$B$5:$B$204,MATCH(A147,Ana_Malzeme!$A$5:$A$204,0)),"KATALOGDA YOK"))</f>
        <v/>
      </c>
      <c r="C147" s="13" t="str">
        <f aca="false">IF(A147="","",IFERROR(INDEX(Ana_Malzeme!$D$5:$D$204,MATCH(A147,Ana_Malzeme!$A$5:$A$204,0)),""))</f>
        <v/>
      </c>
      <c r="D147" s="14"/>
      <c r="E147" s="10"/>
      <c r="F147" s="15" t="str">
        <f aca="false">IF(OR(A147="",D147=""),"",D147*IFERROR(INDEX(Kur!$B$5:$B$7,MATCH(E147,Kur!$A$5:$A$7,0)),0))</f>
        <v/>
      </c>
      <c r="G147" s="16"/>
      <c r="H147" s="10"/>
      <c r="I147" s="13" t="str">
        <f aca="false">IF(A147="","",IF(D147="","FİYAT GİRİLMEMİŞ",IF(B147="KATALOGDA YOK","KATALOGDA YOK","Tamam")))</f>
        <v/>
      </c>
    </row>
    <row r="148" customFormat="false" ht="15" hidden="false" customHeight="false" outlineLevel="0" collapsed="false">
      <c r="A148" s="10"/>
      <c r="B148" s="13" t="str">
        <f aca="false">IF(A148="","",IFERROR(INDEX(Ana_Malzeme!$B$5:$B$204,MATCH(A148,Ana_Malzeme!$A$5:$A$204,0)),"KATALOGDA YOK"))</f>
        <v/>
      </c>
      <c r="C148" s="13" t="str">
        <f aca="false">IF(A148="","",IFERROR(INDEX(Ana_Malzeme!$D$5:$D$204,MATCH(A148,Ana_Malzeme!$A$5:$A$204,0)),""))</f>
        <v/>
      </c>
      <c r="D148" s="14"/>
      <c r="E148" s="10"/>
      <c r="F148" s="15" t="str">
        <f aca="false">IF(OR(A148="",D148=""),"",D148*IFERROR(INDEX(Kur!$B$5:$B$7,MATCH(E148,Kur!$A$5:$A$7,0)),0))</f>
        <v/>
      </c>
      <c r="G148" s="16"/>
      <c r="H148" s="10"/>
      <c r="I148" s="13" t="str">
        <f aca="false">IF(A148="","",IF(D148="","FİYAT GİRİLMEMİŞ",IF(B148="KATALOGDA YOK","KATALOGDA YOK","Tamam")))</f>
        <v/>
      </c>
    </row>
    <row r="149" customFormat="false" ht="15" hidden="false" customHeight="false" outlineLevel="0" collapsed="false">
      <c r="A149" s="10"/>
      <c r="B149" s="13" t="str">
        <f aca="false">IF(A149="","",IFERROR(INDEX(Ana_Malzeme!$B$5:$B$204,MATCH(A149,Ana_Malzeme!$A$5:$A$204,0)),"KATALOGDA YOK"))</f>
        <v/>
      </c>
      <c r="C149" s="13" t="str">
        <f aca="false">IF(A149="","",IFERROR(INDEX(Ana_Malzeme!$D$5:$D$204,MATCH(A149,Ana_Malzeme!$A$5:$A$204,0)),""))</f>
        <v/>
      </c>
      <c r="D149" s="14"/>
      <c r="E149" s="10"/>
      <c r="F149" s="15" t="str">
        <f aca="false">IF(OR(A149="",D149=""),"",D149*IFERROR(INDEX(Kur!$B$5:$B$7,MATCH(E149,Kur!$A$5:$A$7,0)),0))</f>
        <v/>
      </c>
      <c r="G149" s="16"/>
      <c r="H149" s="10"/>
      <c r="I149" s="13" t="str">
        <f aca="false">IF(A149="","",IF(D149="","FİYAT GİRİLMEMİŞ",IF(B149="KATALOGDA YOK","KATALOGDA YOK","Tamam")))</f>
        <v/>
      </c>
    </row>
    <row r="150" customFormat="false" ht="15" hidden="false" customHeight="false" outlineLevel="0" collapsed="false">
      <c r="A150" s="10"/>
      <c r="B150" s="13" t="str">
        <f aca="false">IF(A150="","",IFERROR(INDEX(Ana_Malzeme!$B$5:$B$204,MATCH(A150,Ana_Malzeme!$A$5:$A$204,0)),"KATALOGDA YOK"))</f>
        <v/>
      </c>
      <c r="C150" s="13" t="str">
        <f aca="false">IF(A150="","",IFERROR(INDEX(Ana_Malzeme!$D$5:$D$204,MATCH(A150,Ana_Malzeme!$A$5:$A$204,0)),""))</f>
        <v/>
      </c>
      <c r="D150" s="14"/>
      <c r="E150" s="10"/>
      <c r="F150" s="15" t="str">
        <f aca="false">IF(OR(A150="",D150=""),"",D150*IFERROR(INDEX(Kur!$B$5:$B$7,MATCH(E150,Kur!$A$5:$A$7,0)),0))</f>
        <v/>
      </c>
      <c r="G150" s="16"/>
      <c r="H150" s="10"/>
      <c r="I150" s="13" t="str">
        <f aca="false">IF(A150="","",IF(D150="","FİYAT GİRİLMEMİŞ",IF(B150="KATALOGDA YOK","KATALOGDA YOK","Tamam")))</f>
        <v/>
      </c>
    </row>
    <row r="151" customFormat="false" ht="15" hidden="false" customHeight="false" outlineLevel="0" collapsed="false">
      <c r="A151" s="10"/>
      <c r="B151" s="13" t="str">
        <f aca="false">IF(A151="","",IFERROR(INDEX(Ana_Malzeme!$B$5:$B$204,MATCH(A151,Ana_Malzeme!$A$5:$A$204,0)),"KATALOGDA YOK"))</f>
        <v/>
      </c>
      <c r="C151" s="13" t="str">
        <f aca="false">IF(A151="","",IFERROR(INDEX(Ana_Malzeme!$D$5:$D$204,MATCH(A151,Ana_Malzeme!$A$5:$A$204,0)),""))</f>
        <v/>
      </c>
      <c r="D151" s="14"/>
      <c r="E151" s="10"/>
      <c r="F151" s="15" t="str">
        <f aca="false">IF(OR(A151="",D151=""),"",D151*IFERROR(INDEX(Kur!$B$5:$B$7,MATCH(E151,Kur!$A$5:$A$7,0)),0))</f>
        <v/>
      </c>
      <c r="G151" s="16"/>
      <c r="H151" s="10"/>
      <c r="I151" s="13" t="str">
        <f aca="false">IF(A151="","",IF(D151="","FİYAT GİRİLMEMİŞ",IF(B151="KATALOGDA YOK","KATALOGDA YOK","Tamam")))</f>
        <v/>
      </c>
    </row>
    <row r="152" customFormat="false" ht="15" hidden="false" customHeight="false" outlineLevel="0" collapsed="false">
      <c r="A152" s="10"/>
      <c r="B152" s="13" t="str">
        <f aca="false">IF(A152="","",IFERROR(INDEX(Ana_Malzeme!$B$5:$B$204,MATCH(A152,Ana_Malzeme!$A$5:$A$204,0)),"KATALOGDA YOK"))</f>
        <v/>
      </c>
      <c r="C152" s="13" t="str">
        <f aca="false">IF(A152="","",IFERROR(INDEX(Ana_Malzeme!$D$5:$D$204,MATCH(A152,Ana_Malzeme!$A$5:$A$204,0)),""))</f>
        <v/>
      </c>
      <c r="D152" s="14"/>
      <c r="E152" s="10"/>
      <c r="F152" s="15" t="str">
        <f aca="false">IF(OR(A152="",D152=""),"",D152*IFERROR(INDEX(Kur!$B$5:$B$7,MATCH(E152,Kur!$A$5:$A$7,0)),0))</f>
        <v/>
      </c>
      <c r="G152" s="16"/>
      <c r="H152" s="10"/>
      <c r="I152" s="13" t="str">
        <f aca="false">IF(A152="","",IF(D152="","FİYAT GİRİLMEMİŞ",IF(B152="KATALOGDA YOK","KATALOGDA YOK","Tamam")))</f>
        <v/>
      </c>
    </row>
    <row r="153" customFormat="false" ht="15" hidden="false" customHeight="false" outlineLevel="0" collapsed="false">
      <c r="A153" s="10"/>
      <c r="B153" s="13" t="str">
        <f aca="false">IF(A153="","",IFERROR(INDEX(Ana_Malzeme!$B$5:$B$204,MATCH(A153,Ana_Malzeme!$A$5:$A$204,0)),"KATALOGDA YOK"))</f>
        <v/>
      </c>
      <c r="C153" s="13" t="str">
        <f aca="false">IF(A153="","",IFERROR(INDEX(Ana_Malzeme!$D$5:$D$204,MATCH(A153,Ana_Malzeme!$A$5:$A$204,0)),""))</f>
        <v/>
      </c>
      <c r="D153" s="14"/>
      <c r="E153" s="10"/>
      <c r="F153" s="15" t="str">
        <f aca="false">IF(OR(A153="",D153=""),"",D153*IFERROR(INDEX(Kur!$B$5:$B$7,MATCH(E153,Kur!$A$5:$A$7,0)),0))</f>
        <v/>
      </c>
      <c r="G153" s="16"/>
      <c r="H153" s="10"/>
      <c r="I153" s="13" t="str">
        <f aca="false">IF(A153="","",IF(D153="","FİYAT GİRİLMEMİŞ",IF(B153="KATALOGDA YOK","KATALOGDA YOK","Tamam")))</f>
        <v/>
      </c>
    </row>
    <row r="154" customFormat="false" ht="15" hidden="false" customHeight="false" outlineLevel="0" collapsed="false">
      <c r="A154" s="10"/>
      <c r="B154" s="13" t="str">
        <f aca="false">IF(A154="","",IFERROR(INDEX(Ana_Malzeme!$B$5:$B$204,MATCH(A154,Ana_Malzeme!$A$5:$A$204,0)),"KATALOGDA YOK"))</f>
        <v/>
      </c>
      <c r="C154" s="13" t="str">
        <f aca="false">IF(A154="","",IFERROR(INDEX(Ana_Malzeme!$D$5:$D$204,MATCH(A154,Ana_Malzeme!$A$5:$A$204,0)),""))</f>
        <v/>
      </c>
      <c r="D154" s="14"/>
      <c r="E154" s="10"/>
      <c r="F154" s="15" t="str">
        <f aca="false">IF(OR(A154="",D154=""),"",D154*IFERROR(INDEX(Kur!$B$5:$B$7,MATCH(E154,Kur!$A$5:$A$7,0)),0))</f>
        <v/>
      </c>
      <c r="G154" s="16"/>
      <c r="H154" s="10"/>
      <c r="I154" s="13" t="str">
        <f aca="false">IF(A154="","",IF(D154="","FİYAT GİRİLMEMİŞ",IF(B154="KATALOGDA YOK","KATALOGDA YOK","Tamam")))</f>
        <v/>
      </c>
    </row>
    <row r="155" customFormat="false" ht="15" hidden="false" customHeight="false" outlineLevel="0" collapsed="false">
      <c r="A155" s="10"/>
      <c r="B155" s="13" t="str">
        <f aca="false">IF(A155="","",IFERROR(INDEX(Ana_Malzeme!$B$5:$B$204,MATCH(A155,Ana_Malzeme!$A$5:$A$204,0)),"KATALOGDA YOK"))</f>
        <v/>
      </c>
      <c r="C155" s="13" t="str">
        <f aca="false">IF(A155="","",IFERROR(INDEX(Ana_Malzeme!$D$5:$D$204,MATCH(A155,Ana_Malzeme!$A$5:$A$204,0)),""))</f>
        <v/>
      </c>
      <c r="D155" s="14"/>
      <c r="E155" s="10"/>
      <c r="F155" s="15" t="str">
        <f aca="false">IF(OR(A155="",D155=""),"",D155*IFERROR(INDEX(Kur!$B$5:$B$7,MATCH(E155,Kur!$A$5:$A$7,0)),0))</f>
        <v/>
      </c>
      <c r="G155" s="16"/>
      <c r="H155" s="10"/>
      <c r="I155" s="13" t="str">
        <f aca="false">IF(A155="","",IF(D155="","FİYAT GİRİLMEMİŞ",IF(B155="KATALOGDA YOK","KATALOGDA YOK","Tamam")))</f>
        <v/>
      </c>
    </row>
    <row r="156" customFormat="false" ht="15" hidden="false" customHeight="false" outlineLevel="0" collapsed="false">
      <c r="A156" s="10"/>
      <c r="B156" s="13" t="str">
        <f aca="false">IF(A156="","",IFERROR(INDEX(Ana_Malzeme!$B$5:$B$204,MATCH(A156,Ana_Malzeme!$A$5:$A$204,0)),"KATALOGDA YOK"))</f>
        <v/>
      </c>
      <c r="C156" s="13" t="str">
        <f aca="false">IF(A156="","",IFERROR(INDEX(Ana_Malzeme!$D$5:$D$204,MATCH(A156,Ana_Malzeme!$A$5:$A$204,0)),""))</f>
        <v/>
      </c>
      <c r="D156" s="14"/>
      <c r="E156" s="10"/>
      <c r="F156" s="15" t="str">
        <f aca="false">IF(OR(A156="",D156=""),"",D156*IFERROR(INDEX(Kur!$B$5:$B$7,MATCH(E156,Kur!$A$5:$A$7,0)),0))</f>
        <v/>
      </c>
      <c r="G156" s="16"/>
      <c r="H156" s="10"/>
      <c r="I156" s="13" t="str">
        <f aca="false">IF(A156="","",IF(D156="","FİYAT GİRİLMEMİŞ",IF(B156="KATALOGDA YOK","KATALOGDA YOK","Tamam")))</f>
        <v/>
      </c>
    </row>
    <row r="157" customFormat="false" ht="15" hidden="false" customHeight="false" outlineLevel="0" collapsed="false">
      <c r="A157" s="10"/>
      <c r="B157" s="13" t="str">
        <f aca="false">IF(A157="","",IFERROR(INDEX(Ana_Malzeme!$B$5:$B$204,MATCH(A157,Ana_Malzeme!$A$5:$A$204,0)),"KATALOGDA YOK"))</f>
        <v/>
      </c>
      <c r="C157" s="13" t="str">
        <f aca="false">IF(A157="","",IFERROR(INDEX(Ana_Malzeme!$D$5:$D$204,MATCH(A157,Ana_Malzeme!$A$5:$A$204,0)),""))</f>
        <v/>
      </c>
      <c r="D157" s="14"/>
      <c r="E157" s="10"/>
      <c r="F157" s="15" t="str">
        <f aca="false">IF(OR(A157="",D157=""),"",D157*IFERROR(INDEX(Kur!$B$5:$B$7,MATCH(E157,Kur!$A$5:$A$7,0)),0))</f>
        <v/>
      </c>
      <c r="G157" s="16"/>
      <c r="H157" s="10"/>
      <c r="I157" s="13" t="str">
        <f aca="false">IF(A157="","",IF(D157="","FİYAT GİRİLMEMİŞ",IF(B157="KATALOGDA YOK","KATALOGDA YOK","Tamam")))</f>
        <v/>
      </c>
    </row>
    <row r="158" customFormat="false" ht="15" hidden="false" customHeight="false" outlineLevel="0" collapsed="false">
      <c r="A158" s="10"/>
      <c r="B158" s="13" t="str">
        <f aca="false">IF(A158="","",IFERROR(INDEX(Ana_Malzeme!$B$5:$B$204,MATCH(A158,Ana_Malzeme!$A$5:$A$204,0)),"KATALOGDA YOK"))</f>
        <v/>
      </c>
      <c r="C158" s="13" t="str">
        <f aca="false">IF(A158="","",IFERROR(INDEX(Ana_Malzeme!$D$5:$D$204,MATCH(A158,Ana_Malzeme!$A$5:$A$204,0)),""))</f>
        <v/>
      </c>
      <c r="D158" s="14"/>
      <c r="E158" s="10"/>
      <c r="F158" s="15" t="str">
        <f aca="false">IF(OR(A158="",D158=""),"",D158*IFERROR(INDEX(Kur!$B$5:$B$7,MATCH(E158,Kur!$A$5:$A$7,0)),0))</f>
        <v/>
      </c>
      <c r="G158" s="16"/>
      <c r="H158" s="10"/>
      <c r="I158" s="13" t="str">
        <f aca="false">IF(A158="","",IF(D158="","FİYAT GİRİLMEMİŞ",IF(B158="KATALOGDA YOK","KATALOGDA YOK","Tamam")))</f>
        <v/>
      </c>
    </row>
    <row r="159" customFormat="false" ht="15" hidden="false" customHeight="false" outlineLevel="0" collapsed="false">
      <c r="A159" s="10"/>
      <c r="B159" s="13" t="str">
        <f aca="false">IF(A159="","",IFERROR(INDEX(Ana_Malzeme!$B$5:$B$204,MATCH(A159,Ana_Malzeme!$A$5:$A$204,0)),"KATALOGDA YOK"))</f>
        <v/>
      </c>
      <c r="C159" s="13" t="str">
        <f aca="false">IF(A159="","",IFERROR(INDEX(Ana_Malzeme!$D$5:$D$204,MATCH(A159,Ana_Malzeme!$A$5:$A$204,0)),""))</f>
        <v/>
      </c>
      <c r="D159" s="14"/>
      <c r="E159" s="10"/>
      <c r="F159" s="15" t="str">
        <f aca="false">IF(OR(A159="",D159=""),"",D159*IFERROR(INDEX(Kur!$B$5:$B$7,MATCH(E159,Kur!$A$5:$A$7,0)),0))</f>
        <v/>
      </c>
      <c r="G159" s="16"/>
      <c r="H159" s="10"/>
      <c r="I159" s="13" t="str">
        <f aca="false">IF(A159="","",IF(D159="","FİYAT GİRİLMEMİŞ",IF(B159="KATALOGDA YOK","KATALOGDA YOK","Tamam")))</f>
        <v/>
      </c>
    </row>
    <row r="160" customFormat="false" ht="15" hidden="false" customHeight="false" outlineLevel="0" collapsed="false">
      <c r="A160" s="10"/>
      <c r="B160" s="13" t="str">
        <f aca="false">IF(A160="","",IFERROR(INDEX(Ana_Malzeme!$B$5:$B$204,MATCH(A160,Ana_Malzeme!$A$5:$A$204,0)),"KATALOGDA YOK"))</f>
        <v/>
      </c>
      <c r="C160" s="13" t="str">
        <f aca="false">IF(A160="","",IFERROR(INDEX(Ana_Malzeme!$D$5:$D$204,MATCH(A160,Ana_Malzeme!$A$5:$A$204,0)),""))</f>
        <v/>
      </c>
      <c r="D160" s="14"/>
      <c r="E160" s="10"/>
      <c r="F160" s="15" t="str">
        <f aca="false">IF(OR(A160="",D160=""),"",D160*IFERROR(INDEX(Kur!$B$5:$B$7,MATCH(E160,Kur!$A$5:$A$7,0)),0))</f>
        <v/>
      </c>
      <c r="G160" s="16"/>
      <c r="H160" s="10"/>
      <c r="I160" s="13" t="str">
        <f aca="false">IF(A160="","",IF(D160="","FİYAT GİRİLMEMİŞ",IF(B160="KATALOGDA YOK","KATALOGDA YOK","Tamam")))</f>
        <v/>
      </c>
    </row>
    <row r="161" customFormat="false" ht="15" hidden="false" customHeight="false" outlineLevel="0" collapsed="false">
      <c r="A161" s="10"/>
      <c r="B161" s="13" t="str">
        <f aca="false">IF(A161="","",IFERROR(INDEX(Ana_Malzeme!$B$5:$B$204,MATCH(A161,Ana_Malzeme!$A$5:$A$204,0)),"KATALOGDA YOK"))</f>
        <v/>
      </c>
      <c r="C161" s="13" t="str">
        <f aca="false">IF(A161="","",IFERROR(INDEX(Ana_Malzeme!$D$5:$D$204,MATCH(A161,Ana_Malzeme!$A$5:$A$204,0)),""))</f>
        <v/>
      </c>
      <c r="D161" s="14"/>
      <c r="E161" s="10"/>
      <c r="F161" s="15" t="str">
        <f aca="false">IF(OR(A161="",D161=""),"",D161*IFERROR(INDEX(Kur!$B$5:$B$7,MATCH(E161,Kur!$A$5:$A$7,0)),0))</f>
        <v/>
      </c>
      <c r="G161" s="16"/>
      <c r="H161" s="10"/>
      <c r="I161" s="13" t="str">
        <f aca="false">IF(A161="","",IF(D161="","FİYAT GİRİLMEMİŞ",IF(B161="KATALOGDA YOK","KATALOGDA YOK","Tamam")))</f>
        <v/>
      </c>
    </row>
    <row r="162" customFormat="false" ht="15" hidden="false" customHeight="false" outlineLevel="0" collapsed="false">
      <c r="A162" s="10"/>
      <c r="B162" s="13" t="str">
        <f aca="false">IF(A162="","",IFERROR(INDEX(Ana_Malzeme!$B$5:$B$204,MATCH(A162,Ana_Malzeme!$A$5:$A$204,0)),"KATALOGDA YOK"))</f>
        <v/>
      </c>
      <c r="C162" s="13" t="str">
        <f aca="false">IF(A162="","",IFERROR(INDEX(Ana_Malzeme!$D$5:$D$204,MATCH(A162,Ana_Malzeme!$A$5:$A$204,0)),""))</f>
        <v/>
      </c>
      <c r="D162" s="14"/>
      <c r="E162" s="10"/>
      <c r="F162" s="15" t="str">
        <f aca="false">IF(OR(A162="",D162=""),"",D162*IFERROR(INDEX(Kur!$B$5:$B$7,MATCH(E162,Kur!$A$5:$A$7,0)),0))</f>
        <v/>
      </c>
      <c r="G162" s="16"/>
      <c r="H162" s="10"/>
      <c r="I162" s="13" t="str">
        <f aca="false">IF(A162="","",IF(D162="","FİYAT GİRİLMEMİŞ",IF(B162="KATALOGDA YOK","KATALOGDA YOK","Tamam")))</f>
        <v/>
      </c>
    </row>
    <row r="163" customFormat="false" ht="15" hidden="false" customHeight="false" outlineLevel="0" collapsed="false">
      <c r="A163" s="10"/>
      <c r="B163" s="13" t="str">
        <f aca="false">IF(A163="","",IFERROR(INDEX(Ana_Malzeme!$B$5:$B$204,MATCH(A163,Ana_Malzeme!$A$5:$A$204,0)),"KATALOGDA YOK"))</f>
        <v/>
      </c>
      <c r="C163" s="13" t="str">
        <f aca="false">IF(A163="","",IFERROR(INDEX(Ana_Malzeme!$D$5:$D$204,MATCH(A163,Ana_Malzeme!$A$5:$A$204,0)),""))</f>
        <v/>
      </c>
      <c r="D163" s="14"/>
      <c r="E163" s="10"/>
      <c r="F163" s="15" t="str">
        <f aca="false">IF(OR(A163="",D163=""),"",D163*IFERROR(INDEX(Kur!$B$5:$B$7,MATCH(E163,Kur!$A$5:$A$7,0)),0))</f>
        <v/>
      </c>
      <c r="G163" s="16"/>
      <c r="H163" s="10"/>
      <c r="I163" s="13" t="str">
        <f aca="false">IF(A163="","",IF(D163="","FİYAT GİRİLMEMİŞ",IF(B163="KATALOGDA YOK","KATALOGDA YOK","Tamam")))</f>
        <v/>
      </c>
    </row>
    <row r="164" customFormat="false" ht="15" hidden="false" customHeight="false" outlineLevel="0" collapsed="false">
      <c r="A164" s="10"/>
      <c r="B164" s="13" t="str">
        <f aca="false">IF(A164="","",IFERROR(INDEX(Ana_Malzeme!$B$5:$B$204,MATCH(A164,Ana_Malzeme!$A$5:$A$204,0)),"KATALOGDA YOK"))</f>
        <v/>
      </c>
      <c r="C164" s="13" t="str">
        <f aca="false">IF(A164="","",IFERROR(INDEX(Ana_Malzeme!$D$5:$D$204,MATCH(A164,Ana_Malzeme!$A$5:$A$204,0)),""))</f>
        <v/>
      </c>
      <c r="D164" s="14"/>
      <c r="E164" s="10"/>
      <c r="F164" s="15" t="str">
        <f aca="false">IF(OR(A164="",D164=""),"",D164*IFERROR(INDEX(Kur!$B$5:$B$7,MATCH(E164,Kur!$A$5:$A$7,0)),0))</f>
        <v/>
      </c>
      <c r="G164" s="16"/>
      <c r="H164" s="10"/>
      <c r="I164" s="13" t="str">
        <f aca="false">IF(A164="","",IF(D164="","FİYAT GİRİLMEMİŞ",IF(B164="KATALOGDA YOK","KATALOGDA YOK","Tamam")))</f>
        <v/>
      </c>
    </row>
    <row r="165" customFormat="false" ht="15" hidden="false" customHeight="false" outlineLevel="0" collapsed="false">
      <c r="A165" s="10"/>
      <c r="B165" s="13" t="str">
        <f aca="false">IF(A165="","",IFERROR(INDEX(Ana_Malzeme!$B$5:$B$204,MATCH(A165,Ana_Malzeme!$A$5:$A$204,0)),"KATALOGDA YOK"))</f>
        <v/>
      </c>
      <c r="C165" s="13" t="str">
        <f aca="false">IF(A165="","",IFERROR(INDEX(Ana_Malzeme!$D$5:$D$204,MATCH(A165,Ana_Malzeme!$A$5:$A$204,0)),""))</f>
        <v/>
      </c>
      <c r="D165" s="14"/>
      <c r="E165" s="10"/>
      <c r="F165" s="15" t="str">
        <f aca="false">IF(OR(A165="",D165=""),"",D165*IFERROR(INDEX(Kur!$B$5:$B$7,MATCH(E165,Kur!$A$5:$A$7,0)),0))</f>
        <v/>
      </c>
      <c r="G165" s="16"/>
      <c r="H165" s="10"/>
      <c r="I165" s="13" t="str">
        <f aca="false">IF(A165="","",IF(D165="","FİYAT GİRİLMEMİŞ",IF(B165="KATALOGDA YOK","KATALOGDA YOK","Tamam")))</f>
        <v/>
      </c>
    </row>
    <row r="166" customFormat="false" ht="15" hidden="false" customHeight="false" outlineLevel="0" collapsed="false">
      <c r="A166" s="10"/>
      <c r="B166" s="13" t="str">
        <f aca="false">IF(A166="","",IFERROR(INDEX(Ana_Malzeme!$B$5:$B$204,MATCH(A166,Ana_Malzeme!$A$5:$A$204,0)),"KATALOGDA YOK"))</f>
        <v/>
      </c>
      <c r="C166" s="13" t="str">
        <f aca="false">IF(A166="","",IFERROR(INDEX(Ana_Malzeme!$D$5:$D$204,MATCH(A166,Ana_Malzeme!$A$5:$A$204,0)),""))</f>
        <v/>
      </c>
      <c r="D166" s="14"/>
      <c r="E166" s="10"/>
      <c r="F166" s="15" t="str">
        <f aca="false">IF(OR(A166="",D166=""),"",D166*IFERROR(INDEX(Kur!$B$5:$B$7,MATCH(E166,Kur!$A$5:$A$7,0)),0))</f>
        <v/>
      </c>
      <c r="G166" s="16"/>
      <c r="H166" s="10"/>
      <c r="I166" s="13" t="str">
        <f aca="false">IF(A166="","",IF(D166="","FİYAT GİRİLMEMİŞ",IF(B166="KATALOGDA YOK","KATALOGDA YOK","Tamam")))</f>
        <v/>
      </c>
    </row>
    <row r="167" customFormat="false" ht="15" hidden="false" customHeight="false" outlineLevel="0" collapsed="false">
      <c r="A167" s="10"/>
      <c r="B167" s="13" t="str">
        <f aca="false">IF(A167="","",IFERROR(INDEX(Ana_Malzeme!$B$5:$B$204,MATCH(A167,Ana_Malzeme!$A$5:$A$204,0)),"KATALOGDA YOK"))</f>
        <v/>
      </c>
      <c r="C167" s="13" t="str">
        <f aca="false">IF(A167="","",IFERROR(INDEX(Ana_Malzeme!$D$5:$D$204,MATCH(A167,Ana_Malzeme!$A$5:$A$204,0)),""))</f>
        <v/>
      </c>
      <c r="D167" s="14"/>
      <c r="E167" s="10"/>
      <c r="F167" s="15" t="str">
        <f aca="false">IF(OR(A167="",D167=""),"",D167*IFERROR(INDEX(Kur!$B$5:$B$7,MATCH(E167,Kur!$A$5:$A$7,0)),0))</f>
        <v/>
      </c>
      <c r="G167" s="16"/>
      <c r="H167" s="10"/>
      <c r="I167" s="13" t="str">
        <f aca="false">IF(A167="","",IF(D167="","FİYAT GİRİLMEMİŞ",IF(B167="KATALOGDA YOK","KATALOGDA YOK","Tamam")))</f>
        <v/>
      </c>
    </row>
    <row r="168" customFormat="false" ht="15" hidden="false" customHeight="false" outlineLevel="0" collapsed="false">
      <c r="A168" s="10"/>
      <c r="B168" s="13" t="str">
        <f aca="false">IF(A168="","",IFERROR(INDEX(Ana_Malzeme!$B$5:$B$204,MATCH(A168,Ana_Malzeme!$A$5:$A$204,0)),"KATALOGDA YOK"))</f>
        <v/>
      </c>
      <c r="C168" s="13" t="str">
        <f aca="false">IF(A168="","",IFERROR(INDEX(Ana_Malzeme!$D$5:$D$204,MATCH(A168,Ana_Malzeme!$A$5:$A$204,0)),""))</f>
        <v/>
      </c>
      <c r="D168" s="14"/>
      <c r="E168" s="10"/>
      <c r="F168" s="15" t="str">
        <f aca="false">IF(OR(A168="",D168=""),"",D168*IFERROR(INDEX(Kur!$B$5:$B$7,MATCH(E168,Kur!$A$5:$A$7,0)),0))</f>
        <v/>
      </c>
      <c r="G168" s="16"/>
      <c r="H168" s="10"/>
      <c r="I168" s="13" t="str">
        <f aca="false">IF(A168="","",IF(D168="","FİYAT GİRİLMEMİŞ",IF(B168="KATALOGDA YOK","KATALOGDA YOK","Tamam")))</f>
        <v/>
      </c>
    </row>
    <row r="169" customFormat="false" ht="15" hidden="false" customHeight="false" outlineLevel="0" collapsed="false">
      <c r="A169" s="10"/>
      <c r="B169" s="13" t="str">
        <f aca="false">IF(A169="","",IFERROR(INDEX(Ana_Malzeme!$B$5:$B$204,MATCH(A169,Ana_Malzeme!$A$5:$A$204,0)),"KATALOGDA YOK"))</f>
        <v/>
      </c>
      <c r="C169" s="13" t="str">
        <f aca="false">IF(A169="","",IFERROR(INDEX(Ana_Malzeme!$D$5:$D$204,MATCH(A169,Ana_Malzeme!$A$5:$A$204,0)),""))</f>
        <v/>
      </c>
      <c r="D169" s="14"/>
      <c r="E169" s="10"/>
      <c r="F169" s="15" t="str">
        <f aca="false">IF(OR(A169="",D169=""),"",D169*IFERROR(INDEX(Kur!$B$5:$B$7,MATCH(E169,Kur!$A$5:$A$7,0)),0))</f>
        <v/>
      </c>
      <c r="G169" s="16"/>
      <c r="H169" s="10"/>
      <c r="I169" s="13" t="str">
        <f aca="false">IF(A169="","",IF(D169="","FİYAT GİRİLMEMİŞ",IF(B169="KATALOGDA YOK","KATALOGDA YOK","Tamam")))</f>
        <v/>
      </c>
    </row>
    <row r="170" customFormat="false" ht="15" hidden="false" customHeight="false" outlineLevel="0" collapsed="false">
      <c r="A170" s="10"/>
      <c r="B170" s="13" t="str">
        <f aca="false">IF(A170="","",IFERROR(INDEX(Ana_Malzeme!$B$5:$B$204,MATCH(A170,Ana_Malzeme!$A$5:$A$204,0)),"KATALOGDA YOK"))</f>
        <v/>
      </c>
      <c r="C170" s="13" t="str">
        <f aca="false">IF(A170="","",IFERROR(INDEX(Ana_Malzeme!$D$5:$D$204,MATCH(A170,Ana_Malzeme!$A$5:$A$204,0)),""))</f>
        <v/>
      </c>
      <c r="D170" s="14"/>
      <c r="E170" s="10"/>
      <c r="F170" s="15" t="str">
        <f aca="false">IF(OR(A170="",D170=""),"",D170*IFERROR(INDEX(Kur!$B$5:$B$7,MATCH(E170,Kur!$A$5:$A$7,0)),0))</f>
        <v/>
      </c>
      <c r="G170" s="16"/>
      <c r="H170" s="10"/>
      <c r="I170" s="13" t="str">
        <f aca="false">IF(A170="","",IF(D170="","FİYAT GİRİLMEMİŞ",IF(B170="KATALOGDA YOK","KATALOGDA YOK","Tamam")))</f>
        <v/>
      </c>
    </row>
    <row r="171" customFormat="false" ht="15" hidden="false" customHeight="false" outlineLevel="0" collapsed="false">
      <c r="A171" s="10"/>
      <c r="B171" s="13" t="str">
        <f aca="false">IF(A171="","",IFERROR(INDEX(Ana_Malzeme!$B$5:$B$204,MATCH(A171,Ana_Malzeme!$A$5:$A$204,0)),"KATALOGDA YOK"))</f>
        <v/>
      </c>
      <c r="C171" s="13" t="str">
        <f aca="false">IF(A171="","",IFERROR(INDEX(Ana_Malzeme!$D$5:$D$204,MATCH(A171,Ana_Malzeme!$A$5:$A$204,0)),""))</f>
        <v/>
      </c>
      <c r="D171" s="14"/>
      <c r="E171" s="10"/>
      <c r="F171" s="15" t="str">
        <f aca="false">IF(OR(A171="",D171=""),"",D171*IFERROR(INDEX(Kur!$B$5:$B$7,MATCH(E171,Kur!$A$5:$A$7,0)),0))</f>
        <v/>
      </c>
      <c r="G171" s="16"/>
      <c r="H171" s="10"/>
      <c r="I171" s="13" t="str">
        <f aca="false">IF(A171="","",IF(D171="","FİYAT GİRİLMEMİŞ",IF(B171="KATALOGDA YOK","KATALOGDA YOK","Tamam")))</f>
        <v/>
      </c>
    </row>
    <row r="172" customFormat="false" ht="15" hidden="false" customHeight="false" outlineLevel="0" collapsed="false">
      <c r="A172" s="10"/>
      <c r="B172" s="13" t="str">
        <f aca="false">IF(A172="","",IFERROR(INDEX(Ana_Malzeme!$B$5:$B$204,MATCH(A172,Ana_Malzeme!$A$5:$A$204,0)),"KATALOGDA YOK"))</f>
        <v/>
      </c>
      <c r="C172" s="13" t="str">
        <f aca="false">IF(A172="","",IFERROR(INDEX(Ana_Malzeme!$D$5:$D$204,MATCH(A172,Ana_Malzeme!$A$5:$A$204,0)),""))</f>
        <v/>
      </c>
      <c r="D172" s="14"/>
      <c r="E172" s="10"/>
      <c r="F172" s="15" t="str">
        <f aca="false">IF(OR(A172="",D172=""),"",D172*IFERROR(INDEX(Kur!$B$5:$B$7,MATCH(E172,Kur!$A$5:$A$7,0)),0))</f>
        <v/>
      </c>
      <c r="G172" s="16"/>
      <c r="H172" s="10"/>
      <c r="I172" s="13" t="str">
        <f aca="false">IF(A172="","",IF(D172="","FİYAT GİRİLMEMİŞ",IF(B172="KATALOGDA YOK","KATALOGDA YOK","Tamam")))</f>
        <v/>
      </c>
    </row>
    <row r="173" customFormat="false" ht="15" hidden="false" customHeight="false" outlineLevel="0" collapsed="false">
      <c r="A173" s="10"/>
      <c r="B173" s="13" t="str">
        <f aca="false">IF(A173="","",IFERROR(INDEX(Ana_Malzeme!$B$5:$B$204,MATCH(A173,Ana_Malzeme!$A$5:$A$204,0)),"KATALOGDA YOK"))</f>
        <v/>
      </c>
      <c r="C173" s="13" t="str">
        <f aca="false">IF(A173="","",IFERROR(INDEX(Ana_Malzeme!$D$5:$D$204,MATCH(A173,Ana_Malzeme!$A$5:$A$204,0)),""))</f>
        <v/>
      </c>
      <c r="D173" s="14"/>
      <c r="E173" s="10"/>
      <c r="F173" s="15" t="str">
        <f aca="false">IF(OR(A173="",D173=""),"",D173*IFERROR(INDEX(Kur!$B$5:$B$7,MATCH(E173,Kur!$A$5:$A$7,0)),0))</f>
        <v/>
      </c>
      <c r="G173" s="16"/>
      <c r="H173" s="10"/>
      <c r="I173" s="13" t="str">
        <f aca="false">IF(A173="","",IF(D173="","FİYAT GİRİLMEMİŞ",IF(B173="KATALOGDA YOK","KATALOGDA YOK","Tamam")))</f>
        <v/>
      </c>
    </row>
    <row r="174" customFormat="false" ht="15" hidden="false" customHeight="false" outlineLevel="0" collapsed="false">
      <c r="A174" s="10"/>
      <c r="B174" s="13" t="str">
        <f aca="false">IF(A174="","",IFERROR(INDEX(Ana_Malzeme!$B$5:$B$204,MATCH(A174,Ana_Malzeme!$A$5:$A$204,0)),"KATALOGDA YOK"))</f>
        <v/>
      </c>
      <c r="C174" s="13" t="str">
        <f aca="false">IF(A174="","",IFERROR(INDEX(Ana_Malzeme!$D$5:$D$204,MATCH(A174,Ana_Malzeme!$A$5:$A$204,0)),""))</f>
        <v/>
      </c>
      <c r="D174" s="14"/>
      <c r="E174" s="10"/>
      <c r="F174" s="15" t="str">
        <f aca="false">IF(OR(A174="",D174=""),"",D174*IFERROR(INDEX(Kur!$B$5:$B$7,MATCH(E174,Kur!$A$5:$A$7,0)),0))</f>
        <v/>
      </c>
      <c r="G174" s="16"/>
      <c r="H174" s="10"/>
      <c r="I174" s="13" t="str">
        <f aca="false">IF(A174="","",IF(D174="","FİYAT GİRİLMEMİŞ",IF(B174="KATALOGDA YOK","KATALOGDA YOK","Tamam")))</f>
        <v/>
      </c>
    </row>
    <row r="175" customFormat="false" ht="15" hidden="false" customHeight="false" outlineLevel="0" collapsed="false">
      <c r="A175" s="10"/>
      <c r="B175" s="13" t="str">
        <f aca="false">IF(A175="","",IFERROR(INDEX(Ana_Malzeme!$B$5:$B$204,MATCH(A175,Ana_Malzeme!$A$5:$A$204,0)),"KATALOGDA YOK"))</f>
        <v/>
      </c>
      <c r="C175" s="13" t="str">
        <f aca="false">IF(A175="","",IFERROR(INDEX(Ana_Malzeme!$D$5:$D$204,MATCH(A175,Ana_Malzeme!$A$5:$A$204,0)),""))</f>
        <v/>
      </c>
      <c r="D175" s="14"/>
      <c r="E175" s="10"/>
      <c r="F175" s="15" t="str">
        <f aca="false">IF(OR(A175="",D175=""),"",D175*IFERROR(INDEX(Kur!$B$5:$B$7,MATCH(E175,Kur!$A$5:$A$7,0)),0))</f>
        <v/>
      </c>
      <c r="G175" s="16"/>
      <c r="H175" s="10"/>
      <c r="I175" s="13" t="str">
        <f aca="false">IF(A175="","",IF(D175="","FİYAT GİRİLMEMİŞ",IF(B175="KATALOGDA YOK","KATALOGDA YOK","Tamam")))</f>
        <v/>
      </c>
    </row>
    <row r="176" customFormat="false" ht="15" hidden="false" customHeight="false" outlineLevel="0" collapsed="false">
      <c r="A176" s="10"/>
      <c r="B176" s="13" t="str">
        <f aca="false">IF(A176="","",IFERROR(INDEX(Ana_Malzeme!$B$5:$B$204,MATCH(A176,Ana_Malzeme!$A$5:$A$204,0)),"KATALOGDA YOK"))</f>
        <v/>
      </c>
      <c r="C176" s="13" t="str">
        <f aca="false">IF(A176="","",IFERROR(INDEX(Ana_Malzeme!$D$5:$D$204,MATCH(A176,Ana_Malzeme!$A$5:$A$204,0)),""))</f>
        <v/>
      </c>
      <c r="D176" s="14"/>
      <c r="E176" s="10"/>
      <c r="F176" s="15" t="str">
        <f aca="false">IF(OR(A176="",D176=""),"",D176*IFERROR(INDEX(Kur!$B$5:$B$7,MATCH(E176,Kur!$A$5:$A$7,0)),0))</f>
        <v/>
      </c>
      <c r="G176" s="16"/>
      <c r="H176" s="10"/>
      <c r="I176" s="13" t="str">
        <f aca="false">IF(A176="","",IF(D176="","FİYAT GİRİLMEMİŞ",IF(B176="KATALOGDA YOK","KATALOGDA YOK","Tamam")))</f>
        <v/>
      </c>
    </row>
    <row r="177" customFormat="false" ht="15" hidden="false" customHeight="false" outlineLevel="0" collapsed="false">
      <c r="A177" s="10"/>
      <c r="B177" s="13" t="str">
        <f aca="false">IF(A177="","",IFERROR(INDEX(Ana_Malzeme!$B$5:$B$204,MATCH(A177,Ana_Malzeme!$A$5:$A$204,0)),"KATALOGDA YOK"))</f>
        <v/>
      </c>
      <c r="C177" s="13" t="str">
        <f aca="false">IF(A177="","",IFERROR(INDEX(Ana_Malzeme!$D$5:$D$204,MATCH(A177,Ana_Malzeme!$A$5:$A$204,0)),""))</f>
        <v/>
      </c>
      <c r="D177" s="14"/>
      <c r="E177" s="10"/>
      <c r="F177" s="15" t="str">
        <f aca="false">IF(OR(A177="",D177=""),"",D177*IFERROR(INDEX(Kur!$B$5:$B$7,MATCH(E177,Kur!$A$5:$A$7,0)),0))</f>
        <v/>
      </c>
      <c r="G177" s="16"/>
      <c r="H177" s="10"/>
      <c r="I177" s="13" t="str">
        <f aca="false">IF(A177="","",IF(D177="","FİYAT GİRİLMEMİŞ",IF(B177="KATALOGDA YOK","KATALOGDA YOK","Tamam")))</f>
        <v/>
      </c>
    </row>
    <row r="178" customFormat="false" ht="15" hidden="false" customHeight="false" outlineLevel="0" collapsed="false">
      <c r="A178" s="10"/>
      <c r="B178" s="13" t="str">
        <f aca="false">IF(A178="","",IFERROR(INDEX(Ana_Malzeme!$B$5:$B$204,MATCH(A178,Ana_Malzeme!$A$5:$A$204,0)),"KATALOGDA YOK"))</f>
        <v/>
      </c>
      <c r="C178" s="13" t="str">
        <f aca="false">IF(A178="","",IFERROR(INDEX(Ana_Malzeme!$D$5:$D$204,MATCH(A178,Ana_Malzeme!$A$5:$A$204,0)),""))</f>
        <v/>
      </c>
      <c r="D178" s="14"/>
      <c r="E178" s="10"/>
      <c r="F178" s="15" t="str">
        <f aca="false">IF(OR(A178="",D178=""),"",D178*IFERROR(INDEX(Kur!$B$5:$B$7,MATCH(E178,Kur!$A$5:$A$7,0)),0))</f>
        <v/>
      </c>
      <c r="G178" s="16"/>
      <c r="H178" s="10"/>
      <c r="I178" s="13" t="str">
        <f aca="false">IF(A178="","",IF(D178="","FİYAT GİRİLMEMİŞ",IF(B178="KATALOGDA YOK","KATALOGDA YOK","Tamam")))</f>
        <v/>
      </c>
    </row>
    <row r="179" customFormat="false" ht="15" hidden="false" customHeight="false" outlineLevel="0" collapsed="false">
      <c r="A179" s="10"/>
      <c r="B179" s="13" t="str">
        <f aca="false">IF(A179="","",IFERROR(INDEX(Ana_Malzeme!$B$5:$B$204,MATCH(A179,Ana_Malzeme!$A$5:$A$204,0)),"KATALOGDA YOK"))</f>
        <v/>
      </c>
      <c r="C179" s="13" t="str">
        <f aca="false">IF(A179="","",IFERROR(INDEX(Ana_Malzeme!$D$5:$D$204,MATCH(A179,Ana_Malzeme!$A$5:$A$204,0)),""))</f>
        <v/>
      </c>
      <c r="D179" s="14"/>
      <c r="E179" s="10"/>
      <c r="F179" s="15" t="str">
        <f aca="false">IF(OR(A179="",D179=""),"",D179*IFERROR(INDEX(Kur!$B$5:$B$7,MATCH(E179,Kur!$A$5:$A$7,0)),0))</f>
        <v/>
      </c>
      <c r="G179" s="16"/>
      <c r="H179" s="10"/>
      <c r="I179" s="13" t="str">
        <f aca="false">IF(A179="","",IF(D179="","FİYAT GİRİLMEMİŞ",IF(B179="KATALOGDA YOK","KATALOGDA YOK","Tamam")))</f>
        <v/>
      </c>
    </row>
    <row r="180" customFormat="false" ht="15" hidden="false" customHeight="false" outlineLevel="0" collapsed="false">
      <c r="A180" s="10"/>
      <c r="B180" s="13" t="str">
        <f aca="false">IF(A180="","",IFERROR(INDEX(Ana_Malzeme!$B$5:$B$204,MATCH(A180,Ana_Malzeme!$A$5:$A$204,0)),"KATALOGDA YOK"))</f>
        <v/>
      </c>
      <c r="C180" s="13" t="str">
        <f aca="false">IF(A180="","",IFERROR(INDEX(Ana_Malzeme!$D$5:$D$204,MATCH(A180,Ana_Malzeme!$A$5:$A$204,0)),""))</f>
        <v/>
      </c>
      <c r="D180" s="14"/>
      <c r="E180" s="10"/>
      <c r="F180" s="15" t="str">
        <f aca="false">IF(OR(A180="",D180=""),"",D180*IFERROR(INDEX(Kur!$B$5:$B$7,MATCH(E180,Kur!$A$5:$A$7,0)),0))</f>
        <v/>
      </c>
      <c r="G180" s="16"/>
      <c r="H180" s="10"/>
      <c r="I180" s="13" t="str">
        <f aca="false">IF(A180="","",IF(D180="","FİYAT GİRİLMEMİŞ",IF(B180="KATALOGDA YOK","KATALOGDA YOK","Tamam")))</f>
        <v/>
      </c>
    </row>
    <row r="181" customFormat="false" ht="15" hidden="false" customHeight="false" outlineLevel="0" collapsed="false">
      <c r="A181" s="10"/>
      <c r="B181" s="13" t="str">
        <f aca="false">IF(A181="","",IFERROR(INDEX(Ana_Malzeme!$B$5:$B$204,MATCH(A181,Ana_Malzeme!$A$5:$A$204,0)),"KATALOGDA YOK"))</f>
        <v/>
      </c>
      <c r="C181" s="13" t="str">
        <f aca="false">IF(A181="","",IFERROR(INDEX(Ana_Malzeme!$D$5:$D$204,MATCH(A181,Ana_Malzeme!$A$5:$A$204,0)),""))</f>
        <v/>
      </c>
      <c r="D181" s="14"/>
      <c r="E181" s="10"/>
      <c r="F181" s="15" t="str">
        <f aca="false">IF(OR(A181="",D181=""),"",D181*IFERROR(INDEX(Kur!$B$5:$B$7,MATCH(E181,Kur!$A$5:$A$7,0)),0))</f>
        <v/>
      </c>
      <c r="G181" s="16"/>
      <c r="H181" s="10"/>
      <c r="I181" s="13" t="str">
        <f aca="false">IF(A181="","",IF(D181="","FİYAT GİRİLMEMİŞ",IF(B181="KATALOGDA YOK","KATALOGDA YOK","Tamam")))</f>
        <v/>
      </c>
    </row>
    <row r="182" customFormat="false" ht="15" hidden="false" customHeight="false" outlineLevel="0" collapsed="false">
      <c r="A182" s="10"/>
      <c r="B182" s="13" t="str">
        <f aca="false">IF(A182="","",IFERROR(INDEX(Ana_Malzeme!$B$5:$B$204,MATCH(A182,Ana_Malzeme!$A$5:$A$204,0)),"KATALOGDA YOK"))</f>
        <v/>
      </c>
      <c r="C182" s="13" t="str">
        <f aca="false">IF(A182="","",IFERROR(INDEX(Ana_Malzeme!$D$5:$D$204,MATCH(A182,Ana_Malzeme!$A$5:$A$204,0)),""))</f>
        <v/>
      </c>
      <c r="D182" s="14"/>
      <c r="E182" s="10"/>
      <c r="F182" s="15" t="str">
        <f aca="false">IF(OR(A182="",D182=""),"",D182*IFERROR(INDEX(Kur!$B$5:$B$7,MATCH(E182,Kur!$A$5:$A$7,0)),0))</f>
        <v/>
      </c>
      <c r="G182" s="16"/>
      <c r="H182" s="10"/>
      <c r="I182" s="13" t="str">
        <f aca="false">IF(A182="","",IF(D182="","FİYAT GİRİLMEMİŞ",IF(B182="KATALOGDA YOK","KATALOGDA YOK","Tamam")))</f>
        <v/>
      </c>
    </row>
    <row r="183" customFormat="false" ht="15" hidden="false" customHeight="false" outlineLevel="0" collapsed="false">
      <c r="A183" s="10"/>
      <c r="B183" s="13" t="str">
        <f aca="false">IF(A183="","",IFERROR(INDEX(Ana_Malzeme!$B$5:$B$204,MATCH(A183,Ana_Malzeme!$A$5:$A$204,0)),"KATALOGDA YOK"))</f>
        <v/>
      </c>
      <c r="C183" s="13" t="str">
        <f aca="false">IF(A183="","",IFERROR(INDEX(Ana_Malzeme!$D$5:$D$204,MATCH(A183,Ana_Malzeme!$A$5:$A$204,0)),""))</f>
        <v/>
      </c>
      <c r="D183" s="14"/>
      <c r="E183" s="10"/>
      <c r="F183" s="15" t="str">
        <f aca="false">IF(OR(A183="",D183=""),"",D183*IFERROR(INDEX(Kur!$B$5:$B$7,MATCH(E183,Kur!$A$5:$A$7,0)),0))</f>
        <v/>
      </c>
      <c r="G183" s="16"/>
      <c r="H183" s="10"/>
      <c r="I183" s="13" t="str">
        <f aca="false">IF(A183="","",IF(D183="","FİYAT GİRİLMEMİŞ",IF(B183="KATALOGDA YOK","KATALOGDA YOK","Tamam")))</f>
        <v/>
      </c>
    </row>
    <row r="184" customFormat="false" ht="15" hidden="false" customHeight="false" outlineLevel="0" collapsed="false">
      <c r="A184" s="10"/>
      <c r="B184" s="13" t="str">
        <f aca="false">IF(A184="","",IFERROR(INDEX(Ana_Malzeme!$B$5:$B$204,MATCH(A184,Ana_Malzeme!$A$5:$A$204,0)),"KATALOGDA YOK"))</f>
        <v/>
      </c>
      <c r="C184" s="13" t="str">
        <f aca="false">IF(A184="","",IFERROR(INDEX(Ana_Malzeme!$D$5:$D$204,MATCH(A184,Ana_Malzeme!$A$5:$A$204,0)),""))</f>
        <v/>
      </c>
      <c r="D184" s="14"/>
      <c r="E184" s="10"/>
      <c r="F184" s="15" t="str">
        <f aca="false">IF(OR(A184="",D184=""),"",D184*IFERROR(INDEX(Kur!$B$5:$B$7,MATCH(E184,Kur!$A$5:$A$7,0)),0))</f>
        <v/>
      </c>
      <c r="G184" s="16"/>
      <c r="H184" s="10"/>
      <c r="I184" s="13" t="str">
        <f aca="false">IF(A184="","",IF(D184="","FİYAT GİRİLMEMİŞ",IF(B184="KATALOGDA YOK","KATALOGDA YOK","Tamam")))</f>
        <v/>
      </c>
    </row>
    <row r="185" customFormat="false" ht="15" hidden="false" customHeight="false" outlineLevel="0" collapsed="false">
      <c r="A185" s="10"/>
      <c r="B185" s="13" t="str">
        <f aca="false">IF(A185="","",IFERROR(INDEX(Ana_Malzeme!$B$5:$B$204,MATCH(A185,Ana_Malzeme!$A$5:$A$204,0)),"KATALOGDA YOK"))</f>
        <v/>
      </c>
      <c r="C185" s="13" t="str">
        <f aca="false">IF(A185="","",IFERROR(INDEX(Ana_Malzeme!$D$5:$D$204,MATCH(A185,Ana_Malzeme!$A$5:$A$204,0)),""))</f>
        <v/>
      </c>
      <c r="D185" s="14"/>
      <c r="E185" s="10"/>
      <c r="F185" s="15" t="str">
        <f aca="false">IF(OR(A185="",D185=""),"",D185*IFERROR(INDEX(Kur!$B$5:$B$7,MATCH(E185,Kur!$A$5:$A$7,0)),0))</f>
        <v/>
      </c>
      <c r="G185" s="16"/>
      <c r="H185" s="10"/>
      <c r="I185" s="13" t="str">
        <f aca="false">IF(A185="","",IF(D185="","FİYAT GİRİLMEMİŞ",IF(B185="KATALOGDA YOK","KATALOGDA YOK","Tamam")))</f>
        <v/>
      </c>
    </row>
    <row r="186" customFormat="false" ht="15" hidden="false" customHeight="false" outlineLevel="0" collapsed="false">
      <c r="A186" s="10"/>
      <c r="B186" s="13" t="str">
        <f aca="false">IF(A186="","",IFERROR(INDEX(Ana_Malzeme!$B$5:$B$204,MATCH(A186,Ana_Malzeme!$A$5:$A$204,0)),"KATALOGDA YOK"))</f>
        <v/>
      </c>
      <c r="C186" s="13" t="str">
        <f aca="false">IF(A186="","",IFERROR(INDEX(Ana_Malzeme!$D$5:$D$204,MATCH(A186,Ana_Malzeme!$A$5:$A$204,0)),""))</f>
        <v/>
      </c>
      <c r="D186" s="14"/>
      <c r="E186" s="10"/>
      <c r="F186" s="15" t="str">
        <f aca="false">IF(OR(A186="",D186=""),"",D186*IFERROR(INDEX(Kur!$B$5:$B$7,MATCH(E186,Kur!$A$5:$A$7,0)),0))</f>
        <v/>
      </c>
      <c r="G186" s="16"/>
      <c r="H186" s="10"/>
      <c r="I186" s="13" t="str">
        <f aca="false">IF(A186="","",IF(D186="","FİYAT GİRİLMEMİŞ",IF(B186="KATALOGDA YOK","KATALOGDA YOK","Tamam")))</f>
        <v/>
      </c>
    </row>
    <row r="187" customFormat="false" ht="15" hidden="false" customHeight="false" outlineLevel="0" collapsed="false">
      <c r="A187" s="10"/>
      <c r="B187" s="13" t="str">
        <f aca="false">IF(A187="","",IFERROR(INDEX(Ana_Malzeme!$B$5:$B$204,MATCH(A187,Ana_Malzeme!$A$5:$A$204,0)),"KATALOGDA YOK"))</f>
        <v/>
      </c>
      <c r="C187" s="13" t="str">
        <f aca="false">IF(A187="","",IFERROR(INDEX(Ana_Malzeme!$D$5:$D$204,MATCH(A187,Ana_Malzeme!$A$5:$A$204,0)),""))</f>
        <v/>
      </c>
      <c r="D187" s="14"/>
      <c r="E187" s="10"/>
      <c r="F187" s="15" t="str">
        <f aca="false">IF(OR(A187="",D187=""),"",D187*IFERROR(INDEX(Kur!$B$5:$B$7,MATCH(E187,Kur!$A$5:$A$7,0)),0))</f>
        <v/>
      </c>
      <c r="G187" s="16"/>
      <c r="H187" s="10"/>
      <c r="I187" s="13" t="str">
        <f aca="false">IF(A187="","",IF(D187="","FİYAT GİRİLMEMİŞ",IF(B187="KATALOGDA YOK","KATALOGDA YOK","Tamam")))</f>
        <v/>
      </c>
    </row>
    <row r="188" customFormat="false" ht="15" hidden="false" customHeight="false" outlineLevel="0" collapsed="false">
      <c r="A188" s="10"/>
      <c r="B188" s="13" t="str">
        <f aca="false">IF(A188="","",IFERROR(INDEX(Ana_Malzeme!$B$5:$B$204,MATCH(A188,Ana_Malzeme!$A$5:$A$204,0)),"KATALOGDA YOK"))</f>
        <v/>
      </c>
      <c r="C188" s="13" t="str">
        <f aca="false">IF(A188="","",IFERROR(INDEX(Ana_Malzeme!$D$5:$D$204,MATCH(A188,Ana_Malzeme!$A$5:$A$204,0)),""))</f>
        <v/>
      </c>
      <c r="D188" s="14"/>
      <c r="E188" s="10"/>
      <c r="F188" s="15" t="str">
        <f aca="false">IF(OR(A188="",D188=""),"",D188*IFERROR(INDEX(Kur!$B$5:$B$7,MATCH(E188,Kur!$A$5:$A$7,0)),0))</f>
        <v/>
      </c>
      <c r="G188" s="16"/>
      <c r="H188" s="10"/>
      <c r="I188" s="13" t="str">
        <f aca="false">IF(A188="","",IF(D188="","FİYAT GİRİLMEMİŞ",IF(B188="KATALOGDA YOK","KATALOGDA YOK","Tamam")))</f>
        <v/>
      </c>
    </row>
    <row r="189" customFormat="false" ht="15" hidden="false" customHeight="false" outlineLevel="0" collapsed="false">
      <c r="A189" s="10"/>
      <c r="B189" s="13" t="str">
        <f aca="false">IF(A189="","",IFERROR(INDEX(Ana_Malzeme!$B$5:$B$204,MATCH(A189,Ana_Malzeme!$A$5:$A$204,0)),"KATALOGDA YOK"))</f>
        <v/>
      </c>
      <c r="C189" s="13" t="str">
        <f aca="false">IF(A189="","",IFERROR(INDEX(Ana_Malzeme!$D$5:$D$204,MATCH(A189,Ana_Malzeme!$A$5:$A$204,0)),""))</f>
        <v/>
      </c>
      <c r="D189" s="14"/>
      <c r="E189" s="10"/>
      <c r="F189" s="15" t="str">
        <f aca="false">IF(OR(A189="",D189=""),"",D189*IFERROR(INDEX(Kur!$B$5:$B$7,MATCH(E189,Kur!$A$5:$A$7,0)),0))</f>
        <v/>
      </c>
      <c r="G189" s="16"/>
      <c r="H189" s="10"/>
      <c r="I189" s="13" t="str">
        <f aca="false">IF(A189="","",IF(D189="","FİYAT GİRİLMEMİŞ",IF(B189="KATALOGDA YOK","KATALOGDA YOK","Tamam")))</f>
        <v/>
      </c>
    </row>
    <row r="190" customFormat="false" ht="15" hidden="false" customHeight="false" outlineLevel="0" collapsed="false">
      <c r="A190" s="10"/>
      <c r="B190" s="13" t="str">
        <f aca="false">IF(A190="","",IFERROR(INDEX(Ana_Malzeme!$B$5:$B$204,MATCH(A190,Ana_Malzeme!$A$5:$A$204,0)),"KATALOGDA YOK"))</f>
        <v/>
      </c>
      <c r="C190" s="13" t="str">
        <f aca="false">IF(A190="","",IFERROR(INDEX(Ana_Malzeme!$D$5:$D$204,MATCH(A190,Ana_Malzeme!$A$5:$A$204,0)),""))</f>
        <v/>
      </c>
      <c r="D190" s="14"/>
      <c r="E190" s="10"/>
      <c r="F190" s="15" t="str">
        <f aca="false">IF(OR(A190="",D190=""),"",D190*IFERROR(INDEX(Kur!$B$5:$B$7,MATCH(E190,Kur!$A$5:$A$7,0)),0))</f>
        <v/>
      </c>
      <c r="G190" s="16"/>
      <c r="H190" s="10"/>
      <c r="I190" s="13" t="str">
        <f aca="false">IF(A190="","",IF(D190="","FİYAT GİRİLMEMİŞ",IF(B190="KATALOGDA YOK","KATALOGDA YOK","Tamam")))</f>
        <v/>
      </c>
    </row>
    <row r="191" customFormat="false" ht="15" hidden="false" customHeight="false" outlineLevel="0" collapsed="false">
      <c r="A191" s="10"/>
      <c r="B191" s="13" t="str">
        <f aca="false">IF(A191="","",IFERROR(INDEX(Ana_Malzeme!$B$5:$B$204,MATCH(A191,Ana_Malzeme!$A$5:$A$204,0)),"KATALOGDA YOK"))</f>
        <v/>
      </c>
      <c r="C191" s="13" t="str">
        <f aca="false">IF(A191="","",IFERROR(INDEX(Ana_Malzeme!$D$5:$D$204,MATCH(A191,Ana_Malzeme!$A$5:$A$204,0)),""))</f>
        <v/>
      </c>
      <c r="D191" s="14"/>
      <c r="E191" s="10"/>
      <c r="F191" s="15" t="str">
        <f aca="false">IF(OR(A191="",D191=""),"",D191*IFERROR(INDEX(Kur!$B$5:$B$7,MATCH(E191,Kur!$A$5:$A$7,0)),0))</f>
        <v/>
      </c>
      <c r="G191" s="16"/>
      <c r="H191" s="10"/>
      <c r="I191" s="13" t="str">
        <f aca="false">IF(A191="","",IF(D191="","FİYAT GİRİLMEMİŞ",IF(B191="KATALOGDA YOK","KATALOGDA YOK","Tamam")))</f>
        <v/>
      </c>
    </row>
    <row r="192" customFormat="false" ht="15" hidden="false" customHeight="false" outlineLevel="0" collapsed="false">
      <c r="A192" s="10"/>
      <c r="B192" s="13" t="str">
        <f aca="false">IF(A192="","",IFERROR(INDEX(Ana_Malzeme!$B$5:$B$204,MATCH(A192,Ana_Malzeme!$A$5:$A$204,0)),"KATALOGDA YOK"))</f>
        <v/>
      </c>
      <c r="C192" s="13" t="str">
        <f aca="false">IF(A192="","",IFERROR(INDEX(Ana_Malzeme!$D$5:$D$204,MATCH(A192,Ana_Malzeme!$A$5:$A$204,0)),""))</f>
        <v/>
      </c>
      <c r="D192" s="14"/>
      <c r="E192" s="10"/>
      <c r="F192" s="15" t="str">
        <f aca="false">IF(OR(A192="",D192=""),"",D192*IFERROR(INDEX(Kur!$B$5:$B$7,MATCH(E192,Kur!$A$5:$A$7,0)),0))</f>
        <v/>
      </c>
      <c r="G192" s="16"/>
      <c r="H192" s="10"/>
      <c r="I192" s="13" t="str">
        <f aca="false">IF(A192="","",IF(D192="","FİYAT GİRİLMEMİŞ",IF(B192="KATALOGDA YOK","KATALOGDA YOK","Tamam")))</f>
        <v/>
      </c>
    </row>
    <row r="193" customFormat="false" ht="15" hidden="false" customHeight="false" outlineLevel="0" collapsed="false">
      <c r="A193" s="10"/>
      <c r="B193" s="13" t="str">
        <f aca="false">IF(A193="","",IFERROR(INDEX(Ana_Malzeme!$B$5:$B$204,MATCH(A193,Ana_Malzeme!$A$5:$A$204,0)),"KATALOGDA YOK"))</f>
        <v/>
      </c>
      <c r="C193" s="13" t="str">
        <f aca="false">IF(A193="","",IFERROR(INDEX(Ana_Malzeme!$D$5:$D$204,MATCH(A193,Ana_Malzeme!$A$5:$A$204,0)),""))</f>
        <v/>
      </c>
      <c r="D193" s="14"/>
      <c r="E193" s="10"/>
      <c r="F193" s="15" t="str">
        <f aca="false">IF(OR(A193="",D193=""),"",D193*IFERROR(INDEX(Kur!$B$5:$B$7,MATCH(E193,Kur!$A$5:$A$7,0)),0))</f>
        <v/>
      </c>
      <c r="G193" s="16"/>
      <c r="H193" s="10"/>
      <c r="I193" s="13" t="str">
        <f aca="false">IF(A193="","",IF(D193="","FİYAT GİRİLMEMİŞ",IF(B193="KATALOGDA YOK","KATALOGDA YOK","Tamam")))</f>
        <v/>
      </c>
    </row>
    <row r="194" customFormat="false" ht="15" hidden="false" customHeight="false" outlineLevel="0" collapsed="false">
      <c r="A194" s="10"/>
      <c r="B194" s="13" t="str">
        <f aca="false">IF(A194="","",IFERROR(INDEX(Ana_Malzeme!$B$5:$B$204,MATCH(A194,Ana_Malzeme!$A$5:$A$204,0)),"KATALOGDA YOK"))</f>
        <v/>
      </c>
      <c r="C194" s="13" t="str">
        <f aca="false">IF(A194="","",IFERROR(INDEX(Ana_Malzeme!$D$5:$D$204,MATCH(A194,Ana_Malzeme!$A$5:$A$204,0)),""))</f>
        <v/>
      </c>
      <c r="D194" s="14"/>
      <c r="E194" s="10"/>
      <c r="F194" s="15" t="str">
        <f aca="false">IF(OR(A194="",D194=""),"",D194*IFERROR(INDEX(Kur!$B$5:$B$7,MATCH(E194,Kur!$A$5:$A$7,0)),0))</f>
        <v/>
      </c>
      <c r="G194" s="16"/>
      <c r="H194" s="10"/>
      <c r="I194" s="13" t="str">
        <f aca="false">IF(A194="","",IF(D194="","FİYAT GİRİLMEMİŞ",IF(B194="KATALOGDA YOK","KATALOGDA YOK","Tamam")))</f>
        <v/>
      </c>
    </row>
    <row r="195" customFormat="false" ht="15" hidden="false" customHeight="false" outlineLevel="0" collapsed="false">
      <c r="A195" s="10"/>
      <c r="B195" s="13" t="str">
        <f aca="false">IF(A195="","",IFERROR(INDEX(Ana_Malzeme!$B$5:$B$204,MATCH(A195,Ana_Malzeme!$A$5:$A$204,0)),"KATALOGDA YOK"))</f>
        <v/>
      </c>
      <c r="C195" s="13" t="str">
        <f aca="false">IF(A195="","",IFERROR(INDEX(Ana_Malzeme!$D$5:$D$204,MATCH(A195,Ana_Malzeme!$A$5:$A$204,0)),""))</f>
        <v/>
      </c>
      <c r="D195" s="14"/>
      <c r="E195" s="10"/>
      <c r="F195" s="15" t="str">
        <f aca="false">IF(OR(A195="",D195=""),"",D195*IFERROR(INDEX(Kur!$B$5:$B$7,MATCH(E195,Kur!$A$5:$A$7,0)),0))</f>
        <v/>
      </c>
      <c r="G195" s="16"/>
      <c r="H195" s="10"/>
      <c r="I195" s="13" t="str">
        <f aca="false">IF(A195="","",IF(D195="","FİYAT GİRİLMEMİŞ",IF(B195="KATALOGDA YOK","KATALOGDA YOK","Tamam")))</f>
        <v/>
      </c>
    </row>
    <row r="196" customFormat="false" ht="15" hidden="false" customHeight="false" outlineLevel="0" collapsed="false">
      <c r="A196" s="10"/>
      <c r="B196" s="13" t="str">
        <f aca="false">IF(A196="","",IFERROR(INDEX(Ana_Malzeme!$B$5:$B$204,MATCH(A196,Ana_Malzeme!$A$5:$A$204,0)),"KATALOGDA YOK"))</f>
        <v/>
      </c>
      <c r="C196" s="13" t="str">
        <f aca="false">IF(A196="","",IFERROR(INDEX(Ana_Malzeme!$D$5:$D$204,MATCH(A196,Ana_Malzeme!$A$5:$A$204,0)),""))</f>
        <v/>
      </c>
      <c r="D196" s="14"/>
      <c r="E196" s="10"/>
      <c r="F196" s="15" t="str">
        <f aca="false">IF(OR(A196="",D196=""),"",D196*IFERROR(INDEX(Kur!$B$5:$B$7,MATCH(E196,Kur!$A$5:$A$7,0)),0))</f>
        <v/>
      </c>
      <c r="G196" s="16"/>
      <c r="H196" s="10"/>
      <c r="I196" s="13" t="str">
        <f aca="false">IF(A196="","",IF(D196="","FİYAT GİRİLMEMİŞ",IF(B196="KATALOGDA YOK","KATALOGDA YOK","Tamam")))</f>
        <v/>
      </c>
    </row>
    <row r="197" customFormat="false" ht="15" hidden="false" customHeight="false" outlineLevel="0" collapsed="false">
      <c r="A197" s="10"/>
      <c r="B197" s="13" t="str">
        <f aca="false">IF(A197="","",IFERROR(INDEX(Ana_Malzeme!$B$5:$B$204,MATCH(A197,Ana_Malzeme!$A$5:$A$204,0)),"KATALOGDA YOK"))</f>
        <v/>
      </c>
      <c r="C197" s="13" t="str">
        <f aca="false">IF(A197="","",IFERROR(INDEX(Ana_Malzeme!$D$5:$D$204,MATCH(A197,Ana_Malzeme!$A$5:$A$204,0)),""))</f>
        <v/>
      </c>
      <c r="D197" s="14"/>
      <c r="E197" s="10"/>
      <c r="F197" s="15" t="str">
        <f aca="false">IF(OR(A197="",D197=""),"",D197*IFERROR(INDEX(Kur!$B$5:$B$7,MATCH(E197,Kur!$A$5:$A$7,0)),0))</f>
        <v/>
      </c>
      <c r="G197" s="16"/>
      <c r="H197" s="10"/>
      <c r="I197" s="13" t="str">
        <f aca="false">IF(A197="","",IF(D197="","FİYAT GİRİLMEMİŞ",IF(B197="KATALOGDA YOK","KATALOGDA YOK","Tamam")))</f>
        <v/>
      </c>
    </row>
    <row r="198" customFormat="false" ht="15" hidden="false" customHeight="false" outlineLevel="0" collapsed="false">
      <c r="A198" s="10"/>
      <c r="B198" s="13" t="str">
        <f aca="false">IF(A198="","",IFERROR(INDEX(Ana_Malzeme!$B$5:$B$204,MATCH(A198,Ana_Malzeme!$A$5:$A$204,0)),"KATALOGDA YOK"))</f>
        <v/>
      </c>
      <c r="C198" s="13" t="str">
        <f aca="false">IF(A198="","",IFERROR(INDEX(Ana_Malzeme!$D$5:$D$204,MATCH(A198,Ana_Malzeme!$A$5:$A$204,0)),""))</f>
        <v/>
      </c>
      <c r="D198" s="14"/>
      <c r="E198" s="10"/>
      <c r="F198" s="15" t="str">
        <f aca="false">IF(OR(A198="",D198=""),"",D198*IFERROR(INDEX(Kur!$B$5:$B$7,MATCH(E198,Kur!$A$5:$A$7,0)),0))</f>
        <v/>
      </c>
      <c r="G198" s="16"/>
      <c r="H198" s="10"/>
      <c r="I198" s="13" t="str">
        <f aca="false">IF(A198="","",IF(D198="","FİYAT GİRİLMEMİŞ",IF(B198="KATALOGDA YOK","KATALOGDA YOK","Tamam")))</f>
        <v/>
      </c>
    </row>
    <row r="199" customFormat="false" ht="15" hidden="false" customHeight="false" outlineLevel="0" collapsed="false">
      <c r="A199" s="10"/>
      <c r="B199" s="13" t="str">
        <f aca="false">IF(A199="","",IFERROR(INDEX(Ana_Malzeme!$B$5:$B$204,MATCH(A199,Ana_Malzeme!$A$5:$A$204,0)),"KATALOGDA YOK"))</f>
        <v/>
      </c>
      <c r="C199" s="13" t="str">
        <f aca="false">IF(A199="","",IFERROR(INDEX(Ana_Malzeme!$D$5:$D$204,MATCH(A199,Ana_Malzeme!$A$5:$A$204,0)),""))</f>
        <v/>
      </c>
      <c r="D199" s="14"/>
      <c r="E199" s="10"/>
      <c r="F199" s="15" t="str">
        <f aca="false">IF(OR(A199="",D199=""),"",D199*IFERROR(INDEX(Kur!$B$5:$B$7,MATCH(E199,Kur!$A$5:$A$7,0)),0))</f>
        <v/>
      </c>
      <c r="G199" s="16"/>
      <c r="H199" s="10"/>
      <c r="I199" s="13" t="str">
        <f aca="false">IF(A199="","",IF(D199="","FİYAT GİRİLMEMİŞ",IF(B199="KATALOGDA YOK","KATALOGDA YOK","Tamam")))</f>
        <v/>
      </c>
    </row>
    <row r="200" customFormat="false" ht="15" hidden="false" customHeight="false" outlineLevel="0" collapsed="false">
      <c r="A200" s="10"/>
      <c r="B200" s="13" t="str">
        <f aca="false">IF(A200="","",IFERROR(INDEX(Ana_Malzeme!$B$5:$B$204,MATCH(A200,Ana_Malzeme!$A$5:$A$204,0)),"KATALOGDA YOK"))</f>
        <v/>
      </c>
      <c r="C200" s="13" t="str">
        <f aca="false">IF(A200="","",IFERROR(INDEX(Ana_Malzeme!$D$5:$D$204,MATCH(A200,Ana_Malzeme!$A$5:$A$204,0)),""))</f>
        <v/>
      </c>
      <c r="D200" s="14"/>
      <c r="E200" s="10"/>
      <c r="F200" s="15" t="str">
        <f aca="false">IF(OR(A200="",D200=""),"",D200*IFERROR(INDEX(Kur!$B$5:$B$7,MATCH(E200,Kur!$A$5:$A$7,0)),0))</f>
        <v/>
      </c>
      <c r="G200" s="16"/>
      <c r="H200" s="10"/>
      <c r="I200" s="13" t="str">
        <f aca="false">IF(A200="","",IF(D200="","FİYAT GİRİLMEMİŞ",IF(B200="KATALOGDA YOK","KATALOGDA YOK","Tamam")))</f>
        <v/>
      </c>
    </row>
    <row r="201" customFormat="false" ht="15" hidden="false" customHeight="false" outlineLevel="0" collapsed="false">
      <c r="A201" s="10"/>
      <c r="B201" s="13" t="str">
        <f aca="false">IF(A201="","",IFERROR(INDEX(Ana_Malzeme!$B$5:$B$204,MATCH(A201,Ana_Malzeme!$A$5:$A$204,0)),"KATALOGDA YOK"))</f>
        <v/>
      </c>
      <c r="C201" s="13" t="str">
        <f aca="false">IF(A201="","",IFERROR(INDEX(Ana_Malzeme!$D$5:$D$204,MATCH(A201,Ana_Malzeme!$A$5:$A$204,0)),""))</f>
        <v/>
      </c>
      <c r="D201" s="14"/>
      <c r="E201" s="10"/>
      <c r="F201" s="15" t="str">
        <f aca="false">IF(OR(A201="",D201=""),"",D201*IFERROR(INDEX(Kur!$B$5:$B$7,MATCH(E201,Kur!$A$5:$A$7,0)),0))</f>
        <v/>
      </c>
      <c r="G201" s="16"/>
      <c r="H201" s="10"/>
      <c r="I201" s="13" t="str">
        <f aca="false">IF(A201="","",IF(D201="","FİYAT GİRİLMEMİŞ",IF(B201="KATALOGDA YOK","KATALOGDA YOK","Tamam")))</f>
        <v/>
      </c>
    </row>
    <row r="202" customFormat="false" ht="15" hidden="false" customHeight="false" outlineLevel="0" collapsed="false">
      <c r="A202" s="10"/>
      <c r="B202" s="13" t="str">
        <f aca="false">IF(A202="","",IFERROR(INDEX(Ana_Malzeme!$B$5:$B$204,MATCH(A202,Ana_Malzeme!$A$5:$A$204,0)),"KATALOGDA YOK"))</f>
        <v/>
      </c>
      <c r="C202" s="13" t="str">
        <f aca="false">IF(A202="","",IFERROR(INDEX(Ana_Malzeme!$D$5:$D$204,MATCH(A202,Ana_Malzeme!$A$5:$A$204,0)),""))</f>
        <v/>
      </c>
      <c r="D202" s="14"/>
      <c r="E202" s="10"/>
      <c r="F202" s="15" t="str">
        <f aca="false">IF(OR(A202="",D202=""),"",D202*IFERROR(INDEX(Kur!$B$5:$B$7,MATCH(E202,Kur!$A$5:$A$7,0)),0))</f>
        <v/>
      </c>
      <c r="G202" s="16"/>
      <c r="H202" s="10"/>
      <c r="I202" s="13" t="str">
        <f aca="false">IF(A202="","",IF(D202="","FİYAT GİRİLMEMİŞ",IF(B202="KATALOGDA YOK","KATALOGDA YOK","Tamam")))</f>
        <v/>
      </c>
    </row>
    <row r="203" customFormat="false" ht="15" hidden="false" customHeight="false" outlineLevel="0" collapsed="false">
      <c r="A203" s="10"/>
      <c r="B203" s="13" t="str">
        <f aca="false">IF(A203="","",IFERROR(INDEX(Ana_Malzeme!$B$5:$B$204,MATCH(A203,Ana_Malzeme!$A$5:$A$204,0)),"KATALOGDA YOK"))</f>
        <v/>
      </c>
      <c r="C203" s="13" t="str">
        <f aca="false">IF(A203="","",IFERROR(INDEX(Ana_Malzeme!$D$5:$D$204,MATCH(A203,Ana_Malzeme!$A$5:$A$204,0)),""))</f>
        <v/>
      </c>
      <c r="D203" s="14"/>
      <c r="E203" s="10"/>
      <c r="F203" s="15" t="str">
        <f aca="false">IF(OR(A203="",D203=""),"",D203*IFERROR(INDEX(Kur!$B$5:$B$7,MATCH(E203,Kur!$A$5:$A$7,0)),0))</f>
        <v/>
      </c>
      <c r="G203" s="16"/>
      <c r="H203" s="10"/>
      <c r="I203" s="13" t="str">
        <f aca="false">IF(A203="","",IF(D203="","FİYAT GİRİLMEMİŞ",IF(B203="KATALOGDA YOK","KATALOGDA YOK","Tamam")))</f>
        <v/>
      </c>
    </row>
    <row r="204" customFormat="false" ht="15" hidden="false" customHeight="false" outlineLevel="0" collapsed="false">
      <c r="A204" s="10"/>
      <c r="B204" s="13" t="str">
        <f aca="false">IF(A204="","",IFERROR(INDEX(Ana_Malzeme!$B$5:$B$204,MATCH(A204,Ana_Malzeme!$A$5:$A$204,0)),"KATALOGDA YOK"))</f>
        <v/>
      </c>
      <c r="C204" s="13" t="str">
        <f aca="false">IF(A204="","",IFERROR(INDEX(Ana_Malzeme!$D$5:$D$204,MATCH(A204,Ana_Malzeme!$A$5:$A$204,0)),""))</f>
        <v/>
      </c>
      <c r="D204" s="14"/>
      <c r="E204" s="10"/>
      <c r="F204" s="15" t="str">
        <f aca="false">IF(OR(A204="",D204=""),"",D204*IFERROR(INDEX(Kur!$B$5:$B$7,MATCH(E204,Kur!$A$5:$A$7,0)),0))</f>
        <v/>
      </c>
      <c r="G204" s="16"/>
      <c r="H204" s="10"/>
      <c r="I204" s="13" t="str">
        <f aca="false">IF(A204="","",IF(D204="","FİYAT GİRİLMEMİŞ",IF(B204="KATALOGDA YOK","KATALOGDA YOK","Tamam")))</f>
        <v/>
      </c>
    </row>
  </sheetData>
  <autoFilter ref="A4:I204"/>
  <conditionalFormatting sqref="I5:I204">
    <cfRule type="expression" priority="2" aboveAverage="0" equalAverage="0" bottom="0" percent="0" rank="0" text="" dxfId="9">
      <formula>AND(I5&lt;&gt;"",I5&lt;&gt;"Tamam")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9.7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30" hidden="false" customHeight="true" outlineLevel="0" collapsed="false">
      <c r="A4" s="9" t="s">
        <v>82</v>
      </c>
      <c r="B4" s="9" t="s">
        <v>91</v>
      </c>
    </row>
    <row r="5" customFormat="false" ht="15" hidden="false" customHeight="false" outlineLevel="0" collapsed="false">
      <c r="A5" s="11" t="s">
        <v>86</v>
      </c>
      <c r="B5" s="17" t="n">
        <v>1</v>
      </c>
    </row>
    <row r="6" customFormat="false" ht="15" hidden="false" customHeight="false" outlineLevel="0" collapsed="false">
      <c r="A6" s="11" t="s">
        <v>88</v>
      </c>
      <c r="B6" s="17" t="n">
        <v>41.2</v>
      </c>
    </row>
    <row r="7" customFormat="false" ht="15" hidden="false" customHeight="false" outlineLevel="0" collapsed="false">
      <c r="A7" s="11" t="s">
        <v>92</v>
      </c>
      <c r="B7" s="17" t="n">
        <v>35.4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5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30" hidden="false" customHeight="true" outlineLevel="0" collapsed="false">
      <c r="A4" s="9" t="s">
        <v>95</v>
      </c>
      <c r="B4" s="9" t="s">
        <v>21</v>
      </c>
      <c r="C4" s="9" t="s">
        <v>79</v>
      </c>
      <c r="D4" s="9" t="s">
        <v>96</v>
      </c>
      <c r="E4" s="9" t="s">
        <v>24</v>
      </c>
      <c r="F4" s="9" t="s">
        <v>83</v>
      </c>
      <c r="G4" s="9" t="s">
        <v>97</v>
      </c>
      <c r="H4" s="9" t="s">
        <v>98</v>
      </c>
    </row>
    <row r="5" customFormat="false" ht="15" hidden="false" customHeight="false" outlineLevel="0" collapsed="false">
      <c r="A5" s="13" t="n">
        <v>1</v>
      </c>
      <c r="B5" s="4" t="s">
        <v>29</v>
      </c>
      <c r="C5" s="13" t="str">
        <f aca="false">IF(B5="","",IFERROR(INDEX(Ana_Malzeme!$B$5:$B$204,MATCH(B5,Ana_Malzeme!$A$5:$A$204,0)),"KATALOGDA YOK"))</f>
        <v>DKP Sac 3 mm (1250x2500)</v>
      </c>
      <c r="D5" s="18" t="n">
        <v>3</v>
      </c>
      <c r="E5" s="13" t="str">
        <f aca="false">IF(B5="","",IFERROR(INDEX(Ana_Malzeme!$D$5:$D$204,MATCH(B5,Ana_Malzeme!$A$5:$A$204,0)),""))</f>
        <v>adet</v>
      </c>
      <c r="F5" s="15" t="n">
        <f aca="false">IF(B5="","",IFERROR(INDEX(Fiyat!$F$5:$F$204,MATCH(B5,Fiyat!$A$5:$A$204,0))+0,"FİYAT YOK"))</f>
        <v>4180</v>
      </c>
      <c r="G5" s="15" t="n">
        <f aca="false">IF(OR(B5="",D5="",NOT(ISNUMBER(F5))),0,D5*F5)</f>
        <v>12540</v>
      </c>
      <c r="H5" s="13" t="str">
        <f aca="false">IF(B5="","",IF(C5="KATALOGDA YOK","Katalogda yok",IF(NOT(ISNUMBER(F5)),"Fiyat girilmemiş","")))</f>
        <v/>
      </c>
    </row>
    <row r="6" customFormat="false" ht="15" hidden="false" customHeight="false" outlineLevel="0" collapsed="false">
      <c r="A6" s="13" t="n">
        <v>2</v>
      </c>
      <c r="B6" s="4" t="s">
        <v>36</v>
      </c>
      <c r="C6" s="13" t="str">
        <f aca="false">IF(B6="","",IFERROR(INDEX(Ana_Malzeme!$B$5:$B$204,MATCH(B6,Ana_Malzeme!$A$5:$A$204,0)),"KATALOGDA YOK"))</f>
        <v>Kutu Profil 40x40x2 mm</v>
      </c>
      <c r="D6" s="18" t="n">
        <v>28</v>
      </c>
      <c r="E6" s="13" t="str">
        <f aca="false">IF(B6="","",IFERROR(INDEX(Ana_Malzeme!$D$5:$D$204,MATCH(B6,Ana_Malzeme!$A$5:$A$204,0)),""))</f>
        <v>mt</v>
      </c>
      <c r="F6" s="15" t="n">
        <f aca="false">IF(B6="","",IFERROR(INDEX(Fiyat!$F$5:$F$204,MATCH(B6,Fiyat!$A$5:$A$204,0))+0,"FİYAT YOK"))</f>
        <v>96</v>
      </c>
      <c r="G6" s="15" t="n">
        <f aca="false">IF(OR(B6="",D6="",NOT(ISNUMBER(F6))),0,D6*F6)</f>
        <v>2688</v>
      </c>
      <c r="H6" s="13" t="str">
        <f aca="false">IF(B6="","",IF(C6="KATALOGDA YOK","Katalogda yok",IF(NOT(ISNUMBER(F6)),"Fiyat girilmemiş","")))</f>
        <v/>
      </c>
    </row>
    <row r="7" customFormat="false" ht="15" hidden="false" customHeight="false" outlineLevel="0" collapsed="false">
      <c r="A7" s="13" t="n">
        <v>3</v>
      </c>
      <c r="B7" s="4" t="s">
        <v>39</v>
      </c>
      <c r="C7" s="13" t="str">
        <f aca="false">IF(B7="","",IFERROR(INDEX(Ana_Malzeme!$B$5:$B$204,MATCH(B7,Ana_Malzeme!$A$5:$A$204,0)),"KATALOGDA YOK"))</f>
        <v>Kutu Profil 30x30x2 mm</v>
      </c>
      <c r="D7" s="18" t="n">
        <v>14</v>
      </c>
      <c r="E7" s="13" t="str">
        <f aca="false">IF(B7="","",IFERROR(INDEX(Ana_Malzeme!$D$5:$D$204,MATCH(B7,Ana_Malzeme!$A$5:$A$204,0)),""))</f>
        <v>mt</v>
      </c>
      <c r="F7" s="15" t="n">
        <f aca="false">IF(B7="","",IFERROR(INDEX(Fiyat!$F$5:$F$204,MATCH(B7,Fiyat!$A$5:$A$204,0))+0,"FİYAT YOK"))</f>
        <v>71</v>
      </c>
      <c r="G7" s="15" t="n">
        <f aca="false">IF(OR(B7="",D7="",NOT(ISNUMBER(F7))),0,D7*F7)</f>
        <v>994</v>
      </c>
      <c r="H7" s="13" t="str">
        <f aca="false">IF(B7="","",IF(C7="KATALOGDA YOK","Katalogda yok",IF(NOT(ISNUMBER(F7)),"Fiyat girilmemiş","")))</f>
        <v/>
      </c>
    </row>
    <row r="8" customFormat="false" ht="15" hidden="false" customHeight="false" outlineLevel="0" collapsed="false">
      <c r="A8" s="13" t="n">
        <v>4</v>
      </c>
      <c r="B8" s="4" t="s">
        <v>41</v>
      </c>
      <c r="C8" s="13" t="str">
        <f aca="false">IF(B8="","",IFERROR(INDEX(Ana_Malzeme!$B$5:$B$204,MATCH(B8,Ana_Malzeme!$A$5:$A$204,0)),"KATALOGDA YOK"))</f>
        <v>Alüminyum Sigma Profil 45x45</v>
      </c>
      <c r="D8" s="18" t="n">
        <v>12</v>
      </c>
      <c r="E8" s="13" t="str">
        <f aca="false">IF(B8="","",IFERROR(INDEX(Ana_Malzeme!$D$5:$D$204,MATCH(B8,Ana_Malzeme!$A$5:$A$204,0)),""))</f>
        <v>mt</v>
      </c>
      <c r="F8" s="15" t="n">
        <f aca="false">IF(B8="","",IFERROR(INDEX(Fiyat!$F$5:$F$204,MATCH(B8,Fiyat!$A$5:$A$204,0))+0,"FİYAT YOK"))</f>
        <v>197.76</v>
      </c>
      <c r="G8" s="15" t="n">
        <f aca="false">IF(OR(B8="",D8="",NOT(ISNUMBER(F8))),0,D8*F8)</f>
        <v>2373.12</v>
      </c>
      <c r="H8" s="13" t="str">
        <f aca="false">IF(B8="","",IF(C8="KATALOGDA YOK","Katalogda yok",IF(NOT(ISNUMBER(F8)),"Fiyat girilmemiş","")))</f>
        <v/>
      </c>
    </row>
    <row r="9" customFormat="false" ht="15" hidden="false" customHeight="false" outlineLevel="0" collapsed="false">
      <c r="A9" s="13" t="n">
        <v>5</v>
      </c>
      <c r="B9" s="4"/>
      <c r="C9" s="13" t="str">
        <f aca="false">IF(B9="","",IFERROR(INDEX(Ana_Malzeme!$B$5:$B$204,MATCH(B9,Ana_Malzeme!$A$5:$A$204,0)),"KATALOGDA YOK"))</f>
        <v/>
      </c>
      <c r="D9" s="18"/>
      <c r="E9" s="13" t="str">
        <f aca="false">IF(B9="","",IFERROR(INDEX(Ana_Malzeme!$D$5:$D$204,MATCH(B9,Ana_Malzeme!$A$5:$A$204,0)),""))</f>
        <v/>
      </c>
      <c r="F9" s="15" t="str">
        <f aca="false">IF(B9="","",IFERROR(INDEX(Fiyat!$F$5:$F$204,MATCH(B9,Fiyat!$A$5:$A$204,0))+0,"FİYAT YOK"))</f>
        <v/>
      </c>
      <c r="G9" s="15" t="n">
        <f aca="false">IF(OR(B9="",D9="",NOT(ISNUMBER(F9))),0,D9*F9)</f>
        <v>0</v>
      </c>
      <c r="H9" s="13" t="str">
        <f aca="false">IF(B9="","",IF(C9="KATALOGDA YOK","Katalogda yok",IF(NOT(ISNUMBER(F9)),"Fiyat girilmemiş","")))</f>
        <v/>
      </c>
    </row>
    <row r="10" customFormat="false" ht="15" hidden="false" customHeight="false" outlineLevel="0" collapsed="false">
      <c r="A10" s="13" t="n">
        <v>6</v>
      </c>
      <c r="B10" s="4"/>
      <c r="C10" s="13" t="str">
        <f aca="false">IF(B10="","",IFERROR(INDEX(Ana_Malzeme!$B$5:$B$204,MATCH(B10,Ana_Malzeme!$A$5:$A$204,0)),"KATALOGDA YOK"))</f>
        <v/>
      </c>
      <c r="D10" s="18"/>
      <c r="E10" s="13" t="str">
        <f aca="false">IF(B10="","",IFERROR(INDEX(Ana_Malzeme!$D$5:$D$204,MATCH(B10,Ana_Malzeme!$A$5:$A$204,0)),""))</f>
        <v/>
      </c>
      <c r="F10" s="15" t="str">
        <f aca="false">IF(B10="","",IFERROR(INDEX(Fiyat!$F$5:$F$204,MATCH(B10,Fiyat!$A$5:$A$204,0))+0,"FİYAT YOK"))</f>
        <v/>
      </c>
      <c r="G10" s="15" t="n">
        <f aca="false">IF(OR(B10="",D10="",NOT(ISNUMBER(F10))),0,D10*F10)</f>
        <v>0</v>
      </c>
      <c r="H10" s="13" t="str">
        <f aca="false">IF(B10="","",IF(C10="KATALOGDA YOK","Katalogda yok",IF(NOT(ISNUMBER(F10)),"Fiyat girilmemiş","")))</f>
        <v/>
      </c>
    </row>
    <row r="11" customFormat="false" ht="15" hidden="false" customHeight="false" outlineLevel="0" collapsed="false">
      <c r="A11" s="13" t="n">
        <v>7</v>
      </c>
      <c r="B11" s="4"/>
      <c r="C11" s="13" t="str">
        <f aca="false">IF(B11="","",IFERROR(INDEX(Ana_Malzeme!$B$5:$B$204,MATCH(B11,Ana_Malzeme!$A$5:$A$204,0)),"KATALOGDA YOK"))</f>
        <v/>
      </c>
      <c r="D11" s="18"/>
      <c r="E11" s="13" t="str">
        <f aca="false">IF(B11="","",IFERROR(INDEX(Ana_Malzeme!$D$5:$D$204,MATCH(B11,Ana_Malzeme!$A$5:$A$204,0)),""))</f>
        <v/>
      </c>
      <c r="F11" s="15" t="str">
        <f aca="false">IF(B11="","",IFERROR(INDEX(Fiyat!$F$5:$F$204,MATCH(B11,Fiyat!$A$5:$A$204,0))+0,"FİYAT YOK"))</f>
        <v/>
      </c>
      <c r="G11" s="15" t="n">
        <f aca="false">IF(OR(B11="",D11="",NOT(ISNUMBER(F11))),0,D11*F11)</f>
        <v>0</v>
      </c>
      <c r="H11" s="13" t="str">
        <f aca="false">IF(B11="","",IF(C11="KATALOGDA YOK","Katalogda yok",IF(NOT(ISNUMBER(F11)),"Fiyat girilmemiş","")))</f>
        <v/>
      </c>
    </row>
    <row r="12" customFormat="false" ht="15" hidden="false" customHeight="false" outlineLevel="0" collapsed="false">
      <c r="A12" s="13" t="n">
        <v>8</v>
      </c>
      <c r="B12" s="4"/>
      <c r="C12" s="13" t="str">
        <f aca="false">IF(B12="","",IFERROR(INDEX(Ana_Malzeme!$B$5:$B$204,MATCH(B12,Ana_Malzeme!$A$5:$A$204,0)),"KATALOGDA YOK"))</f>
        <v/>
      </c>
      <c r="D12" s="18"/>
      <c r="E12" s="13" t="str">
        <f aca="false">IF(B12="","",IFERROR(INDEX(Ana_Malzeme!$D$5:$D$204,MATCH(B12,Ana_Malzeme!$A$5:$A$204,0)),""))</f>
        <v/>
      </c>
      <c r="F12" s="15" t="str">
        <f aca="false">IF(B12="","",IFERROR(INDEX(Fiyat!$F$5:$F$204,MATCH(B12,Fiyat!$A$5:$A$204,0))+0,"FİYAT YOK"))</f>
        <v/>
      </c>
      <c r="G12" s="15" t="n">
        <f aca="false">IF(OR(B12="",D12="",NOT(ISNUMBER(F12))),0,D12*F12)</f>
        <v>0</v>
      </c>
      <c r="H12" s="13" t="str">
        <f aca="false">IF(B12="","",IF(C12="KATALOGDA YOK","Katalogda yok",IF(NOT(ISNUMBER(F12)),"Fiyat girilmemiş","")))</f>
        <v/>
      </c>
    </row>
    <row r="13" customFormat="false" ht="15" hidden="false" customHeight="false" outlineLevel="0" collapsed="false">
      <c r="A13" s="13" t="n">
        <v>9</v>
      </c>
      <c r="B13" s="4"/>
      <c r="C13" s="13" t="str">
        <f aca="false">IF(B13="","",IFERROR(INDEX(Ana_Malzeme!$B$5:$B$204,MATCH(B13,Ana_Malzeme!$A$5:$A$204,0)),"KATALOGDA YOK"))</f>
        <v/>
      </c>
      <c r="D13" s="18"/>
      <c r="E13" s="13" t="str">
        <f aca="false">IF(B13="","",IFERROR(INDEX(Ana_Malzeme!$D$5:$D$204,MATCH(B13,Ana_Malzeme!$A$5:$A$204,0)),""))</f>
        <v/>
      </c>
      <c r="F13" s="15" t="str">
        <f aca="false">IF(B13="","",IFERROR(INDEX(Fiyat!$F$5:$F$204,MATCH(B13,Fiyat!$A$5:$A$204,0))+0,"FİYAT YOK"))</f>
        <v/>
      </c>
      <c r="G13" s="15" t="n">
        <f aca="false">IF(OR(B13="",D13="",NOT(ISNUMBER(F13))),0,D13*F13)</f>
        <v>0</v>
      </c>
      <c r="H13" s="13" t="str">
        <f aca="false">IF(B13="","",IF(C13="KATALOGDA YOK","Katalogda yok",IF(NOT(ISNUMBER(F13)),"Fiyat girilmemiş","")))</f>
        <v/>
      </c>
    </row>
    <row r="14" customFormat="false" ht="15" hidden="false" customHeight="false" outlineLevel="0" collapsed="false">
      <c r="A14" s="13" t="n">
        <v>10</v>
      </c>
      <c r="B14" s="4"/>
      <c r="C14" s="13" t="str">
        <f aca="false">IF(B14="","",IFERROR(INDEX(Ana_Malzeme!$B$5:$B$204,MATCH(B14,Ana_Malzeme!$A$5:$A$204,0)),"KATALOGDA YOK"))</f>
        <v/>
      </c>
      <c r="D14" s="18"/>
      <c r="E14" s="13" t="str">
        <f aca="false">IF(B14="","",IFERROR(INDEX(Ana_Malzeme!$D$5:$D$204,MATCH(B14,Ana_Malzeme!$A$5:$A$204,0)),""))</f>
        <v/>
      </c>
      <c r="F14" s="15" t="str">
        <f aca="false">IF(B14="","",IFERROR(INDEX(Fiyat!$F$5:$F$204,MATCH(B14,Fiyat!$A$5:$A$204,0))+0,"FİYAT YOK"))</f>
        <v/>
      </c>
      <c r="G14" s="15" t="n">
        <f aca="false">IF(OR(B14="",D14="",NOT(ISNUMBER(F14))),0,D14*F14)</f>
        <v>0</v>
      </c>
      <c r="H14" s="13" t="str">
        <f aca="false">IF(B14="","",IF(C14="KATALOGDA YOK","Katalogda yok",IF(NOT(ISNUMBER(F14)),"Fiyat girilmemiş","")))</f>
        <v/>
      </c>
    </row>
    <row r="15" customFormat="false" ht="15" hidden="false" customHeight="false" outlineLevel="0" collapsed="false">
      <c r="A15" s="13" t="n">
        <v>11</v>
      </c>
      <c r="B15" s="4"/>
      <c r="C15" s="13" t="str">
        <f aca="false">IF(B15="","",IFERROR(INDEX(Ana_Malzeme!$B$5:$B$204,MATCH(B15,Ana_Malzeme!$A$5:$A$204,0)),"KATALOGDA YOK"))</f>
        <v/>
      </c>
      <c r="D15" s="18"/>
      <c r="E15" s="13" t="str">
        <f aca="false">IF(B15="","",IFERROR(INDEX(Ana_Malzeme!$D$5:$D$204,MATCH(B15,Ana_Malzeme!$A$5:$A$204,0)),""))</f>
        <v/>
      </c>
      <c r="F15" s="15" t="str">
        <f aca="false">IF(B15="","",IFERROR(INDEX(Fiyat!$F$5:$F$204,MATCH(B15,Fiyat!$A$5:$A$204,0))+0,"FİYAT YOK"))</f>
        <v/>
      </c>
      <c r="G15" s="15" t="n">
        <f aca="false">IF(OR(B15="",D15="",NOT(ISNUMBER(F15))),0,D15*F15)</f>
        <v>0</v>
      </c>
      <c r="H15" s="13" t="str">
        <f aca="false">IF(B15="","",IF(C15="KATALOGDA YOK","Katalogda yok",IF(NOT(ISNUMBER(F15)),"Fiyat girilmemiş","")))</f>
        <v/>
      </c>
    </row>
    <row r="16" customFormat="false" ht="15" hidden="false" customHeight="false" outlineLevel="0" collapsed="false">
      <c r="A16" s="13" t="n">
        <v>12</v>
      </c>
      <c r="B16" s="4"/>
      <c r="C16" s="13" t="str">
        <f aca="false">IF(B16="","",IFERROR(INDEX(Ana_Malzeme!$B$5:$B$204,MATCH(B16,Ana_Malzeme!$A$5:$A$204,0)),"KATALOGDA YOK"))</f>
        <v/>
      </c>
      <c r="D16" s="18"/>
      <c r="E16" s="13" t="str">
        <f aca="false">IF(B16="","",IFERROR(INDEX(Ana_Malzeme!$D$5:$D$204,MATCH(B16,Ana_Malzeme!$A$5:$A$204,0)),""))</f>
        <v/>
      </c>
      <c r="F16" s="15" t="str">
        <f aca="false">IF(B16="","",IFERROR(INDEX(Fiyat!$F$5:$F$204,MATCH(B16,Fiyat!$A$5:$A$204,0))+0,"FİYAT YOK"))</f>
        <v/>
      </c>
      <c r="G16" s="15" t="n">
        <f aca="false">IF(OR(B16="",D16="",NOT(ISNUMBER(F16))),0,D16*F16)</f>
        <v>0</v>
      </c>
      <c r="H16" s="13" t="str">
        <f aca="false">IF(B16="","",IF(C16="KATALOGDA YOK","Katalogda yok",IF(NOT(ISNUMBER(F16)),"Fiyat girilmemiş","")))</f>
        <v/>
      </c>
    </row>
    <row r="17" customFormat="false" ht="15" hidden="false" customHeight="false" outlineLevel="0" collapsed="false">
      <c r="A17" s="13" t="n">
        <v>13</v>
      </c>
      <c r="B17" s="4"/>
      <c r="C17" s="13" t="str">
        <f aca="false">IF(B17="","",IFERROR(INDEX(Ana_Malzeme!$B$5:$B$204,MATCH(B17,Ana_Malzeme!$A$5:$A$204,0)),"KATALOGDA YOK"))</f>
        <v/>
      </c>
      <c r="D17" s="18"/>
      <c r="E17" s="13" t="str">
        <f aca="false">IF(B17="","",IFERROR(INDEX(Ana_Malzeme!$D$5:$D$204,MATCH(B17,Ana_Malzeme!$A$5:$A$204,0)),""))</f>
        <v/>
      </c>
      <c r="F17" s="15" t="str">
        <f aca="false">IF(B17="","",IFERROR(INDEX(Fiyat!$F$5:$F$204,MATCH(B17,Fiyat!$A$5:$A$204,0))+0,"FİYAT YOK"))</f>
        <v/>
      </c>
      <c r="G17" s="15" t="n">
        <f aca="false">IF(OR(B17="",D17="",NOT(ISNUMBER(F17))),0,D17*F17)</f>
        <v>0</v>
      </c>
      <c r="H17" s="13" t="str">
        <f aca="false">IF(B17="","",IF(C17="KATALOGDA YOK","Katalogda yok",IF(NOT(ISNUMBER(F17)),"Fiyat girilmemiş","")))</f>
        <v/>
      </c>
    </row>
    <row r="18" customFormat="false" ht="15" hidden="false" customHeight="false" outlineLevel="0" collapsed="false">
      <c r="A18" s="13" t="n">
        <v>14</v>
      </c>
      <c r="B18" s="4"/>
      <c r="C18" s="13" t="str">
        <f aca="false">IF(B18="","",IFERROR(INDEX(Ana_Malzeme!$B$5:$B$204,MATCH(B18,Ana_Malzeme!$A$5:$A$204,0)),"KATALOGDA YOK"))</f>
        <v/>
      </c>
      <c r="D18" s="18"/>
      <c r="E18" s="13" t="str">
        <f aca="false">IF(B18="","",IFERROR(INDEX(Ana_Malzeme!$D$5:$D$204,MATCH(B18,Ana_Malzeme!$A$5:$A$204,0)),""))</f>
        <v/>
      </c>
      <c r="F18" s="15" t="str">
        <f aca="false">IF(B18="","",IFERROR(INDEX(Fiyat!$F$5:$F$204,MATCH(B18,Fiyat!$A$5:$A$204,0))+0,"FİYAT YOK"))</f>
        <v/>
      </c>
      <c r="G18" s="15" t="n">
        <f aca="false">IF(OR(B18="",D18="",NOT(ISNUMBER(F18))),0,D18*F18)</f>
        <v>0</v>
      </c>
      <c r="H18" s="13" t="str">
        <f aca="false">IF(B18="","",IF(C18="KATALOGDA YOK","Katalogda yok",IF(NOT(ISNUMBER(F18)),"Fiyat girilmemiş","")))</f>
        <v/>
      </c>
    </row>
    <row r="19" customFormat="false" ht="15" hidden="false" customHeight="false" outlineLevel="0" collapsed="false">
      <c r="A19" s="13" t="n">
        <v>15</v>
      </c>
      <c r="B19" s="4"/>
      <c r="C19" s="13" t="str">
        <f aca="false">IF(B19="","",IFERROR(INDEX(Ana_Malzeme!$B$5:$B$204,MATCH(B19,Ana_Malzeme!$A$5:$A$204,0)),"KATALOGDA YOK"))</f>
        <v/>
      </c>
      <c r="D19" s="18"/>
      <c r="E19" s="13" t="str">
        <f aca="false">IF(B19="","",IFERROR(INDEX(Ana_Malzeme!$D$5:$D$204,MATCH(B19,Ana_Malzeme!$A$5:$A$204,0)),""))</f>
        <v/>
      </c>
      <c r="F19" s="15" t="str">
        <f aca="false">IF(B19="","",IFERROR(INDEX(Fiyat!$F$5:$F$204,MATCH(B19,Fiyat!$A$5:$A$204,0))+0,"FİYAT YOK"))</f>
        <v/>
      </c>
      <c r="G19" s="15" t="n">
        <f aca="false">IF(OR(B19="",D19="",NOT(ISNUMBER(F19))),0,D19*F19)</f>
        <v>0</v>
      </c>
      <c r="H19" s="13" t="str">
        <f aca="false">IF(B19="","",IF(C19="KATALOGDA YOK","Katalogda yok",IF(NOT(ISNUMBER(F19)),"Fiyat girilmemiş","")))</f>
        <v/>
      </c>
    </row>
    <row r="20" customFormat="false" ht="15" hidden="false" customHeight="false" outlineLevel="0" collapsed="false">
      <c r="A20" s="13" t="n">
        <v>16</v>
      </c>
      <c r="B20" s="4"/>
      <c r="C20" s="13" t="str">
        <f aca="false">IF(B20="","",IFERROR(INDEX(Ana_Malzeme!$B$5:$B$204,MATCH(B20,Ana_Malzeme!$A$5:$A$204,0)),"KATALOGDA YOK"))</f>
        <v/>
      </c>
      <c r="D20" s="18"/>
      <c r="E20" s="13" t="str">
        <f aca="false">IF(B20="","",IFERROR(INDEX(Ana_Malzeme!$D$5:$D$204,MATCH(B20,Ana_Malzeme!$A$5:$A$204,0)),""))</f>
        <v/>
      </c>
      <c r="F20" s="15" t="str">
        <f aca="false">IF(B20="","",IFERROR(INDEX(Fiyat!$F$5:$F$204,MATCH(B20,Fiyat!$A$5:$A$204,0))+0,"FİYAT YOK"))</f>
        <v/>
      </c>
      <c r="G20" s="15" t="n">
        <f aca="false">IF(OR(B20="",D20="",NOT(ISNUMBER(F20))),0,D20*F20)</f>
        <v>0</v>
      </c>
      <c r="H20" s="13" t="str">
        <f aca="false">IF(B20="","",IF(C20="KATALOGDA YOK","Katalogda yok",IF(NOT(ISNUMBER(F20)),"Fiyat girilmemiş","")))</f>
        <v/>
      </c>
    </row>
    <row r="21" customFormat="false" ht="15" hidden="false" customHeight="false" outlineLevel="0" collapsed="false">
      <c r="A21" s="13" t="n">
        <v>17</v>
      </c>
      <c r="B21" s="4"/>
      <c r="C21" s="13" t="str">
        <f aca="false">IF(B21="","",IFERROR(INDEX(Ana_Malzeme!$B$5:$B$204,MATCH(B21,Ana_Malzeme!$A$5:$A$204,0)),"KATALOGDA YOK"))</f>
        <v/>
      </c>
      <c r="D21" s="18"/>
      <c r="E21" s="13" t="str">
        <f aca="false">IF(B21="","",IFERROR(INDEX(Ana_Malzeme!$D$5:$D$204,MATCH(B21,Ana_Malzeme!$A$5:$A$204,0)),""))</f>
        <v/>
      </c>
      <c r="F21" s="15" t="str">
        <f aca="false">IF(B21="","",IFERROR(INDEX(Fiyat!$F$5:$F$204,MATCH(B21,Fiyat!$A$5:$A$204,0))+0,"FİYAT YOK"))</f>
        <v/>
      </c>
      <c r="G21" s="15" t="n">
        <f aca="false">IF(OR(B21="",D21="",NOT(ISNUMBER(F21))),0,D21*F21)</f>
        <v>0</v>
      </c>
      <c r="H21" s="13" t="str">
        <f aca="false">IF(B21="","",IF(C21="KATALOGDA YOK","Katalogda yok",IF(NOT(ISNUMBER(F21)),"Fiyat girilmemiş","")))</f>
        <v/>
      </c>
    </row>
    <row r="22" customFormat="false" ht="15" hidden="false" customHeight="false" outlineLevel="0" collapsed="false">
      <c r="A22" s="13" t="n">
        <v>18</v>
      </c>
      <c r="B22" s="4"/>
      <c r="C22" s="13" t="str">
        <f aca="false">IF(B22="","",IFERROR(INDEX(Ana_Malzeme!$B$5:$B$204,MATCH(B22,Ana_Malzeme!$A$5:$A$204,0)),"KATALOGDA YOK"))</f>
        <v/>
      </c>
      <c r="D22" s="18"/>
      <c r="E22" s="13" t="str">
        <f aca="false">IF(B22="","",IFERROR(INDEX(Ana_Malzeme!$D$5:$D$204,MATCH(B22,Ana_Malzeme!$A$5:$A$204,0)),""))</f>
        <v/>
      </c>
      <c r="F22" s="15" t="str">
        <f aca="false">IF(B22="","",IFERROR(INDEX(Fiyat!$F$5:$F$204,MATCH(B22,Fiyat!$A$5:$A$204,0))+0,"FİYAT YOK"))</f>
        <v/>
      </c>
      <c r="G22" s="15" t="n">
        <f aca="false">IF(OR(B22="",D22="",NOT(ISNUMBER(F22))),0,D22*F22)</f>
        <v>0</v>
      </c>
      <c r="H22" s="13" t="str">
        <f aca="false">IF(B22="","",IF(C22="KATALOGDA YOK","Katalogda yok",IF(NOT(ISNUMBER(F22)),"Fiyat girilmemiş","")))</f>
        <v/>
      </c>
    </row>
    <row r="23" customFormat="false" ht="15" hidden="false" customHeight="false" outlineLevel="0" collapsed="false">
      <c r="A23" s="13" t="n">
        <v>19</v>
      </c>
      <c r="B23" s="4"/>
      <c r="C23" s="13" t="str">
        <f aca="false">IF(B23="","",IFERROR(INDEX(Ana_Malzeme!$B$5:$B$204,MATCH(B23,Ana_Malzeme!$A$5:$A$204,0)),"KATALOGDA YOK"))</f>
        <v/>
      </c>
      <c r="D23" s="18"/>
      <c r="E23" s="13" t="str">
        <f aca="false">IF(B23="","",IFERROR(INDEX(Ana_Malzeme!$D$5:$D$204,MATCH(B23,Ana_Malzeme!$A$5:$A$204,0)),""))</f>
        <v/>
      </c>
      <c r="F23" s="15" t="str">
        <f aca="false">IF(B23="","",IFERROR(INDEX(Fiyat!$F$5:$F$204,MATCH(B23,Fiyat!$A$5:$A$204,0))+0,"FİYAT YOK"))</f>
        <v/>
      </c>
      <c r="G23" s="15" t="n">
        <f aca="false">IF(OR(B23="",D23="",NOT(ISNUMBER(F23))),0,D23*F23)</f>
        <v>0</v>
      </c>
      <c r="H23" s="13" t="str">
        <f aca="false">IF(B23="","",IF(C23="KATALOGDA YOK","Katalogda yok",IF(NOT(ISNUMBER(F23)),"Fiyat girilmemiş","")))</f>
        <v/>
      </c>
    </row>
    <row r="24" customFormat="false" ht="15" hidden="false" customHeight="false" outlineLevel="0" collapsed="false">
      <c r="A24" s="13" t="n">
        <v>20</v>
      </c>
      <c r="B24" s="4"/>
      <c r="C24" s="13" t="str">
        <f aca="false">IF(B24="","",IFERROR(INDEX(Ana_Malzeme!$B$5:$B$204,MATCH(B24,Ana_Malzeme!$A$5:$A$204,0)),"KATALOGDA YOK"))</f>
        <v/>
      </c>
      <c r="D24" s="18"/>
      <c r="E24" s="13" t="str">
        <f aca="false">IF(B24="","",IFERROR(INDEX(Ana_Malzeme!$D$5:$D$204,MATCH(B24,Ana_Malzeme!$A$5:$A$204,0)),""))</f>
        <v/>
      </c>
      <c r="F24" s="15" t="str">
        <f aca="false">IF(B24="","",IFERROR(INDEX(Fiyat!$F$5:$F$204,MATCH(B24,Fiyat!$A$5:$A$204,0))+0,"FİYAT YOK"))</f>
        <v/>
      </c>
      <c r="G24" s="15" t="n">
        <f aca="false">IF(OR(B24="",D24="",NOT(ISNUMBER(F24))),0,D24*F24)</f>
        <v>0</v>
      </c>
      <c r="H24" s="13" t="str">
        <f aca="false">IF(B24="","",IF(C24="KATALOGDA YOK","Katalogda yok",IF(NOT(ISNUMBER(F24)),"Fiyat girilmemiş","")))</f>
        <v/>
      </c>
    </row>
    <row r="25" customFormat="false" ht="15" hidden="false" customHeight="false" outlineLevel="0" collapsed="false">
      <c r="A25" s="13" t="n">
        <v>21</v>
      </c>
      <c r="B25" s="4"/>
      <c r="C25" s="13" t="str">
        <f aca="false">IF(B25="","",IFERROR(INDEX(Ana_Malzeme!$B$5:$B$204,MATCH(B25,Ana_Malzeme!$A$5:$A$204,0)),"KATALOGDA YOK"))</f>
        <v/>
      </c>
      <c r="D25" s="18"/>
      <c r="E25" s="13" t="str">
        <f aca="false">IF(B25="","",IFERROR(INDEX(Ana_Malzeme!$D$5:$D$204,MATCH(B25,Ana_Malzeme!$A$5:$A$204,0)),""))</f>
        <v/>
      </c>
      <c r="F25" s="15" t="str">
        <f aca="false">IF(B25="","",IFERROR(INDEX(Fiyat!$F$5:$F$204,MATCH(B25,Fiyat!$A$5:$A$204,0))+0,"FİYAT YOK"))</f>
        <v/>
      </c>
      <c r="G25" s="15" t="n">
        <f aca="false">IF(OR(B25="",D25="",NOT(ISNUMBER(F25))),0,D25*F25)</f>
        <v>0</v>
      </c>
      <c r="H25" s="13" t="str">
        <f aca="false">IF(B25="","",IF(C25="KATALOGDA YOK","Katalogda yok",IF(NOT(ISNUMBER(F25)),"Fiyat girilmemiş","")))</f>
        <v/>
      </c>
    </row>
    <row r="26" customFormat="false" ht="15" hidden="false" customHeight="false" outlineLevel="0" collapsed="false">
      <c r="A26" s="13" t="n">
        <v>22</v>
      </c>
      <c r="B26" s="4"/>
      <c r="C26" s="13" t="str">
        <f aca="false">IF(B26="","",IFERROR(INDEX(Ana_Malzeme!$B$5:$B$204,MATCH(B26,Ana_Malzeme!$A$5:$A$204,0)),"KATALOGDA YOK"))</f>
        <v/>
      </c>
      <c r="D26" s="18"/>
      <c r="E26" s="13" t="str">
        <f aca="false">IF(B26="","",IFERROR(INDEX(Ana_Malzeme!$D$5:$D$204,MATCH(B26,Ana_Malzeme!$A$5:$A$204,0)),""))</f>
        <v/>
      </c>
      <c r="F26" s="15" t="str">
        <f aca="false">IF(B26="","",IFERROR(INDEX(Fiyat!$F$5:$F$204,MATCH(B26,Fiyat!$A$5:$A$204,0))+0,"FİYAT YOK"))</f>
        <v/>
      </c>
      <c r="G26" s="15" t="n">
        <f aca="false">IF(OR(B26="",D26="",NOT(ISNUMBER(F26))),0,D26*F26)</f>
        <v>0</v>
      </c>
      <c r="H26" s="13" t="str">
        <f aca="false">IF(B26="","",IF(C26="KATALOGDA YOK","Katalogda yok",IF(NOT(ISNUMBER(F26)),"Fiyat girilmemiş","")))</f>
        <v/>
      </c>
    </row>
    <row r="27" customFormat="false" ht="15" hidden="false" customHeight="false" outlineLevel="0" collapsed="false">
      <c r="A27" s="13" t="n">
        <v>23</v>
      </c>
      <c r="B27" s="4"/>
      <c r="C27" s="13" t="str">
        <f aca="false">IF(B27="","",IFERROR(INDEX(Ana_Malzeme!$B$5:$B$204,MATCH(B27,Ana_Malzeme!$A$5:$A$204,0)),"KATALOGDA YOK"))</f>
        <v/>
      </c>
      <c r="D27" s="18"/>
      <c r="E27" s="13" t="str">
        <f aca="false">IF(B27="","",IFERROR(INDEX(Ana_Malzeme!$D$5:$D$204,MATCH(B27,Ana_Malzeme!$A$5:$A$204,0)),""))</f>
        <v/>
      </c>
      <c r="F27" s="15" t="str">
        <f aca="false">IF(B27="","",IFERROR(INDEX(Fiyat!$F$5:$F$204,MATCH(B27,Fiyat!$A$5:$A$204,0))+0,"FİYAT YOK"))</f>
        <v/>
      </c>
      <c r="G27" s="15" t="n">
        <f aca="false">IF(OR(B27="",D27="",NOT(ISNUMBER(F27))),0,D27*F27)</f>
        <v>0</v>
      </c>
      <c r="H27" s="13" t="str">
        <f aca="false">IF(B27="","",IF(C27="KATALOGDA YOK","Katalogda yok",IF(NOT(ISNUMBER(F27)),"Fiyat girilmemiş","")))</f>
        <v/>
      </c>
    </row>
    <row r="28" customFormat="false" ht="15" hidden="false" customHeight="false" outlineLevel="0" collapsed="false">
      <c r="A28" s="13" t="n">
        <v>24</v>
      </c>
      <c r="B28" s="4"/>
      <c r="C28" s="13" t="str">
        <f aca="false">IF(B28="","",IFERROR(INDEX(Ana_Malzeme!$B$5:$B$204,MATCH(B28,Ana_Malzeme!$A$5:$A$204,0)),"KATALOGDA YOK"))</f>
        <v/>
      </c>
      <c r="D28" s="18"/>
      <c r="E28" s="13" t="str">
        <f aca="false">IF(B28="","",IFERROR(INDEX(Ana_Malzeme!$D$5:$D$204,MATCH(B28,Ana_Malzeme!$A$5:$A$204,0)),""))</f>
        <v/>
      </c>
      <c r="F28" s="15" t="str">
        <f aca="false">IF(B28="","",IFERROR(INDEX(Fiyat!$F$5:$F$204,MATCH(B28,Fiyat!$A$5:$A$204,0))+0,"FİYAT YOK"))</f>
        <v/>
      </c>
      <c r="G28" s="15" t="n">
        <f aca="false">IF(OR(B28="",D28="",NOT(ISNUMBER(F28))),0,D28*F28)</f>
        <v>0</v>
      </c>
      <c r="H28" s="13" t="str">
        <f aca="false">IF(B28="","",IF(C28="KATALOGDA YOK","Katalogda yok",IF(NOT(ISNUMBER(F28)),"Fiyat girilmemiş","")))</f>
        <v/>
      </c>
    </row>
    <row r="29" customFormat="false" ht="15" hidden="false" customHeight="false" outlineLevel="0" collapsed="false">
      <c r="A29" s="13" t="n">
        <v>25</v>
      </c>
      <c r="B29" s="4"/>
      <c r="C29" s="13" t="str">
        <f aca="false">IF(B29="","",IFERROR(INDEX(Ana_Malzeme!$B$5:$B$204,MATCH(B29,Ana_Malzeme!$A$5:$A$204,0)),"KATALOGDA YOK"))</f>
        <v/>
      </c>
      <c r="D29" s="18"/>
      <c r="E29" s="13" t="str">
        <f aca="false">IF(B29="","",IFERROR(INDEX(Ana_Malzeme!$D$5:$D$204,MATCH(B29,Ana_Malzeme!$A$5:$A$204,0)),""))</f>
        <v/>
      </c>
      <c r="F29" s="15" t="str">
        <f aca="false">IF(B29="","",IFERROR(INDEX(Fiyat!$F$5:$F$204,MATCH(B29,Fiyat!$A$5:$A$204,0))+0,"FİYAT YOK"))</f>
        <v/>
      </c>
      <c r="G29" s="15" t="n">
        <f aca="false">IF(OR(B29="",D29="",NOT(ISNUMBER(F29))),0,D29*F29)</f>
        <v>0</v>
      </c>
      <c r="H29" s="13" t="str">
        <f aca="false">IF(B29="","",IF(C29="KATALOGDA YOK","Katalogda yok",IF(NOT(ISNUMBER(F29)),"Fiyat girilmemiş","")))</f>
        <v/>
      </c>
    </row>
    <row r="31" customFormat="false" ht="15" hidden="false" customHeight="false" outlineLevel="0" collapsed="false">
      <c r="F31" s="19" t="s">
        <v>99</v>
      </c>
      <c r="G31" s="20" t="n">
        <f aca="false">SUM(G5:G29)</f>
        <v>18595.12</v>
      </c>
    </row>
  </sheetData>
  <sheetProtection sheet="true" autoFilter="false"/>
  <conditionalFormatting sqref="H5:H29">
    <cfRule type="expression" priority="2" aboveAverage="0" equalAverage="0" bottom="0" percent="0" rank="0" text="" dxfId="9">
      <formula>H5&lt;&gt;""</formula>
    </cfRule>
  </conditionalFormatting>
  <dataValidations count="2">
    <dataValidation allowBlank="true" error="Bu kod ana katalogda yok. Önce Ana_Malzeme'ye ekleyin." errorStyle="stop" errorTitle="Geçersiz kod" operator="between" showDropDown="false" showErrorMessage="true" showInputMessage="false" sqref="B5:B29" type="list">
      <formula1>Ana_Malzeme!$A$5:$A$204</formula1>
      <formula2>0</formula2>
    </dataValidation>
    <dataValidation allowBlank="true" error="Miktar sıfırdan büyük olmalı." errorStyle="stop" operator="greaterThan" showDropDown="false" showErrorMessage="true" showInputMessage="false" sqref="D5:D2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5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94</v>
      </c>
    </row>
    <row r="4" customFormat="false" ht="30" hidden="false" customHeight="true" outlineLevel="0" collapsed="false">
      <c r="A4" s="9" t="s">
        <v>95</v>
      </c>
      <c r="B4" s="9" t="s">
        <v>21</v>
      </c>
      <c r="C4" s="9" t="s">
        <v>79</v>
      </c>
      <c r="D4" s="9" t="s">
        <v>96</v>
      </c>
      <c r="E4" s="9" t="s">
        <v>24</v>
      </c>
      <c r="F4" s="9" t="s">
        <v>83</v>
      </c>
      <c r="G4" s="9" t="s">
        <v>97</v>
      </c>
      <c r="H4" s="9" t="s">
        <v>98</v>
      </c>
    </row>
    <row r="5" customFormat="false" ht="15" hidden="false" customHeight="false" outlineLevel="0" collapsed="false">
      <c r="A5" s="13" t="n">
        <v>1</v>
      </c>
      <c r="B5" s="4" t="s">
        <v>43</v>
      </c>
      <c r="C5" s="13" t="str">
        <f aca="false">IF(B5="","",IFERROR(INDEX(Ana_Malzeme!$B$5:$B$204,MATCH(B5,Ana_Malzeme!$A$5:$A$204,0)),"KATALOGDA YOK"))</f>
        <v>Asenkron Motor 0,75 kW 1400 d/d</v>
      </c>
      <c r="D5" s="18" t="n">
        <v>1</v>
      </c>
      <c r="E5" s="13" t="str">
        <f aca="false">IF(B5="","",IFERROR(INDEX(Ana_Malzeme!$D$5:$D$204,MATCH(B5,Ana_Malzeme!$A$5:$A$204,0)),""))</f>
        <v>adet</v>
      </c>
      <c r="F5" s="15" t="n">
        <f aca="false">IF(B5="","",IFERROR(INDEX(Fiyat!$F$5:$F$204,MATCH(B5,Fiyat!$A$5:$A$204,0))+0,"FİYAT YOK"))</f>
        <v>3350</v>
      </c>
      <c r="G5" s="15" t="n">
        <f aca="false">IF(OR(B5="",D5="",NOT(ISNUMBER(F5))),0,D5*F5)</f>
        <v>3350</v>
      </c>
      <c r="H5" s="13" t="str">
        <f aca="false">IF(B5="","",IF(C5="KATALOGDA YOK","Katalogda yok",IF(NOT(ISNUMBER(F5)),"Fiyat girilmemiş","")))</f>
        <v/>
      </c>
    </row>
    <row r="6" customFormat="false" ht="15" hidden="false" customHeight="false" outlineLevel="0" collapsed="false">
      <c r="A6" s="13" t="n">
        <v>2</v>
      </c>
      <c r="B6" s="4" t="s">
        <v>48</v>
      </c>
      <c r="C6" s="13" t="str">
        <f aca="false">IF(B6="","",IFERROR(INDEX(Ana_Malzeme!$B$5:$B$204,MATCH(B6,Ana_Malzeme!$A$5:$A$204,0)),"KATALOGDA YOK"))</f>
        <v>Sonsuz Vida Redüktör W63 1:20</v>
      </c>
      <c r="D6" s="18" t="n">
        <v>1</v>
      </c>
      <c r="E6" s="13" t="str">
        <f aca="false">IF(B6="","",IFERROR(INDEX(Ana_Malzeme!$D$5:$D$204,MATCH(B6,Ana_Malzeme!$A$5:$A$204,0)),""))</f>
        <v>adet</v>
      </c>
      <c r="F6" s="15" t="n">
        <f aca="false">IF(B6="","",IFERROR(INDEX(Fiyat!$F$5:$F$204,MATCH(B6,Fiyat!$A$5:$A$204,0))+0,"FİYAT YOK"))</f>
        <v>3890</v>
      </c>
      <c r="G6" s="15" t="n">
        <f aca="false">IF(OR(B6="",D6="",NOT(ISNUMBER(F6))),0,D6*F6)</f>
        <v>3890</v>
      </c>
      <c r="H6" s="13" t="str">
        <f aca="false">IF(B6="","",IF(C6="KATALOGDA YOK","Katalogda yok",IF(NOT(ISNUMBER(F6)),"Fiyat girilmemiş","")))</f>
        <v/>
      </c>
    </row>
    <row r="7" customFormat="false" ht="15" hidden="false" customHeight="false" outlineLevel="0" collapsed="false">
      <c r="A7" s="13" t="n">
        <v>3</v>
      </c>
      <c r="B7" s="4" t="s">
        <v>50</v>
      </c>
      <c r="C7" s="13" t="str">
        <f aca="false">IF(B7="","",IFERROR(INDEX(Ana_Malzeme!$B$5:$B$204,MATCH(B7,Ana_Malzeme!$A$5:$A$204,0)),"KATALOGDA YOK"))</f>
        <v>Servo Motor 400 W + Sürücü</v>
      </c>
      <c r="D7" s="18" t="n">
        <v>2</v>
      </c>
      <c r="E7" s="13" t="str">
        <f aca="false">IF(B7="","",IFERROR(INDEX(Ana_Malzeme!$D$5:$D$204,MATCH(B7,Ana_Malzeme!$A$5:$A$204,0)),""))</f>
        <v>takım</v>
      </c>
      <c r="F7" s="15" t="n">
        <f aca="false">IF(B7="","",IFERROR(INDEX(Fiyat!$F$5:$F$204,MATCH(B7,Fiyat!$A$5:$A$204,0))+0,"FİYAT YOK"))</f>
        <v>8858</v>
      </c>
      <c r="G7" s="15" t="n">
        <f aca="false">IF(OR(B7="",D7="",NOT(ISNUMBER(F7))),0,D7*F7)</f>
        <v>17716</v>
      </c>
      <c r="H7" s="13" t="str">
        <f aca="false">IF(B7="","",IF(C7="KATALOGDA YOK","Katalogda yok",IF(NOT(ISNUMBER(F7)),"Fiyat girilmemiş","")))</f>
        <v/>
      </c>
    </row>
    <row r="8" customFormat="false" ht="15" hidden="false" customHeight="false" outlineLevel="0" collapsed="false">
      <c r="A8" s="13" t="n">
        <v>4</v>
      </c>
      <c r="B8" s="4"/>
      <c r="C8" s="13" t="str">
        <f aca="false">IF(B8="","",IFERROR(INDEX(Ana_Malzeme!$B$5:$B$204,MATCH(B8,Ana_Malzeme!$A$5:$A$204,0)),"KATALOGDA YOK"))</f>
        <v/>
      </c>
      <c r="D8" s="18"/>
      <c r="E8" s="13" t="str">
        <f aca="false">IF(B8="","",IFERROR(INDEX(Ana_Malzeme!$D$5:$D$204,MATCH(B8,Ana_Malzeme!$A$5:$A$204,0)),""))</f>
        <v/>
      </c>
      <c r="F8" s="15" t="str">
        <f aca="false">IF(B8="","",IFERROR(INDEX(Fiyat!$F$5:$F$204,MATCH(B8,Fiyat!$A$5:$A$204,0))+0,"FİYAT YOK"))</f>
        <v/>
      </c>
      <c r="G8" s="15" t="n">
        <f aca="false">IF(OR(B8="",D8="",NOT(ISNUMBER(F8))),0,D8*F8)</f>
        <v>0</v>
      </c>
      <c r="H8" s="13" t="str">
        <f aca="false">IF(B8="","",IF(C8="KATALOGDA YOK","Katalogda yok",IF(NOT(ISNUMBER(F8)),"Fiyat girilmemiş","")))</f>
        <v/>
      </c>
    </row>
    <row r="9" customFormat="false" ht="15" hidden="false" customHeight="false" outlineLevel="0" collapsed="false">
      <c r="A9" s="13" t="n">
        <v>5</v>
      </c>
      <c r="B9" s="4"/>
      <c r="C9" s="13" t="str">
        <f aca="false">IF(B9="","",IFERROR(INDEX(Ana_Malzeme!$B$5:$B$204,MATCH(B9,Ana_Malzeme!$A$5:$A$204,0)),"KATALOGDA YOK"))</f>
        <v/>
      </c>
      <c r="D9" s="18"/>
      <c r="E9" s="13" t="str">
        <f aca="false">IF(B9="","",IFERROR(INDEX(Ana_Malzeme!$D$5:$D$204,MATCH(B9,Ana_Malzeme!$A$5:$A$204,0)),""))</f>
        <v/>
      </c>
      <c r="F9" s="15" t="str">
        <f aca="false">IF(B9="","",IFERROR(INDEX(Fiyat!$F$5:$F$204,MATCH(B9,Fiyat!$A$5:$A$204,0))+0,"FİYAT YOK"))</f>
        <v/>
      </c>
      <c r="G9" s="15" t="n">
        <f aca="false">IF(OR(B9="",D9="",NOT(ISNUMBER(F9))),0,D9*F9)</f>
        <v>0</v>
      </c>
      <c r="H9" s="13" t="str">
        <f aca="false">IF(B9="","",IF(C9="KATALOGDA YOK","Katalogda yok",IF(NOT(ISNUMBER(F9)),"Fiyat girilmemiş","")))</f>
        <v/>
      </c>
    </row>
    <row r="10" customFormat="false" ht="15" hidden="false" customHeight="false" outlineLevel="0" collapsed="false">
      <c r="A10" s="13" t="n">
        <v>6</v>
      </c>
      <c r="B10" s="4"/>
      <c r="C10" s="13" t="str">
        <f aca="false">IF(B10="","",IFERROR(INDEX(Ana_Malzeme!$B$5:$B$204,MATCH(B10,Ana_Malzeme!$A$5:$A$204,0)),"KATALOGDA YOK"))</f>
        <v/>
      </c>
      <c r="D10" s="18"/>
      <c r="E10" s="13" t="str">
        <f aca="false">IF(B10="","",IFERROR(INDEX(Ana_Malzeme!$D$5:$D$204,MATCH(B10,Ana_Malzeme!$A$5:$A$204,0)),""))</f>
        <v/>
      </c>
      <c r="F10" s="15" t="str">
        <f aca="false">IF(B10="","",IFERROR(INDEX(Fiyat!$F$5:$F$204,MATCH(B10,Fiyat!$A$5:$A$204,0))+0,"FİYAT YOK"))</f>
        <v/>
      </c>
      <c r="G10" s="15" t="n">
        <f aca="false">IF(OR(B10="",D10="",NOT(ISNUMBER(F10))),0,D10*F10)</f>
        <v>0</v>
      </c>
      <c r="H10" s="13" t="str">
        <f aca="false">IF(B10="","",IF(C10="KATALOGDA YOK","Katalogda yok",IF(NOT(ISNUMBER(F10)),"Fiyat girilmemiş","")))</f>
        <v/>
      </c>
    </row>
    <row r="11" customFormat="false" ht="15" hidden="false" customHeight="false" outlineLevel="0" collapsed="false">
      <c r="A11" s="13" t="n">
        <v>7</v>
      </c>
      <c r="B11" s="4"/>
      <c r="C11" s="13" t="str">
        <f aca="false">IF(B11="","",IFERROR(INDEX(Ana_Malzeme!$B$5:$B$204,MATCH(B11,Ana_Malzeme!$A$5:$A$204,0)),"KATALOGDA YOK"))</f>
        <v/>
      </c>
      <c r="D11" s="18"/>
      <c r="E11" s="13" t="str">
        <f aca="false">IF(B11="","",IFERROR(INDEX(Ana_Malzeme!$D$5:$D$204,MATCH(B11,Ana_Malzeme!$A$5:$A$204,0)),""))</f>
        <v/>
      </c>
      <c r="F11" s="15" t="str">
        <f aca="false">IF(B11="","",IFERROR(INDEX(Fiyat!$F$5:$F$204,MATCH(B11,Fiyat!$A$5:$A$204,0))+0,"FİYAT YOK"))</f>
        <v/>
      </c>
      <c r="G11" s="15" t="n">
        <f aca="false">IF(OR(B11="",D11="",NOT(ISNUMBER(F11))),0,D11*F11)</f>
        <v>0</v>
      </c>
      <c r="H11" s="13" t="str">
        <f aca="false">IF(B11="","",IF(C11="KATALOGDA YOK","Katalogda yok",IF(NOT(ISNUMBER(F11)),"Fiyat girilmemiş","")))</f>
        <v/>
      </c>
    </row>
    <row r="12" customFormat="false" ht="15" hidden="false" customHeight="false" outlineLevel="0" collapsed="false">
      <c r="A12" s="13" t="n">
        <v>8</v>
      </c>
      <c r="B12" s="4"/>
      <c r="C12" s="13" t="str">
        <f aca="false">IF(B12="","",IFERROR(INDEX(Ana_Malzeme!$B$5:$B$204,MATCH(B12,Ana_Malzeme!$A$5:$A$204,0)),"KATALOGDA YOK"))</f>
        <v/>
      </c>
      <c r="D12" s="18"/>
      <c r="E12" s="13" t="str">
        <f aca="false">IF(B12="","",IFERROR(INDEX(Ana_Malzeme!$D$5:$D$204,MATCH(B12,Ana_Malzeme!$A$5:$A$204,0)),""))</f>
        <v/>
      </c>
      <c r="F12" s="15" t="str">
        <f aca="false">IF(B12="","",IFERROR(INDEX(Fiyat!$F$5:$F$204,MATCH(B12,Fiyat!$A$5:$A$204,0))+0,"FİYAT YOK"))</f>
        <v/>
      </c>
      <c r="G12" s="15" t="n">
        <f aca="false">IF(OR(B12="",D12="",NOT(ISNUMBER(F12))),0,D12*F12)</f>
        <v>0</v>
      </c>
      <c r="H12" s="13" t="str">
        <f aca="false">IF(B12="","",IF(C12="KATALOGDA YOK","Katalogda yok",IF(NOT(ISNUMBER(F12)),"Fiyat girilmemiş","")))</f>
        <v/>
      </c>
    </row>
    <row r="13" customFormat="false" ht="15" hidden="false" customHeight="false" outlineLevel="0" collapsed="false">
      <c r="A13" s="13" t="n">
        <v>9</v>
      </c>
      <c r="B13" s="4"/>
      <c r="C13" s="13" t="str">
        <f aca="false">IF(B13="","",IFERROR(INDEX(Ana_Malzeme!$B$5:$B$204,MATCH(B13,Ana_Malzeme!$A$5:$A$204,0)),"KATALOGDA YOK"))</f>
        <v/>
      </c>
      <c r="D13" s="18"/>
      <c r="E13" s="13" t="str">
        <f aca="false">IF(B13="","",IFERROR(INDEX(Ana_Malzeme!$D$5:$D$204,MATCH(B13,Ana_Malzeme!$A$5:$A$204,0)),""))</f>
        <v/>
      </c>
      <c r="F13" s="15" t="str">
        <f aca="false">IF(B13="","",IFERROR(INDEX(Fiyat!$F$5:$F$204,MATCH(B13,Fiyat!$A$5:$A$204,0))+0,"FİYAT YOK"))</f>
        <v/>
      </c>
      <c r="G13" s="15" t="n">
        <f aca="false">IF(OR(B13="",D13="",NOT(ISNUMBER(F13))),0,D13*F13)</f>
        <v>0</v>
      </c>
      <c r="H13" s="13" t="str">
        <f aca="false">IF(B13="","",IF(C13="KATALOGDA YOK","Katalogda yok",IF(NOT(ISNUMBER(F13)),"Fiyat girilmemiş","")))</f>
        <v/>
      </c>
    </row>
    <row r="14" customFormat="false" ht="15" hidden="false" customHeight="false" outlineLevel="0" collapsed="false">
      <c r="A14" s="13" t="n">
        <v>10</v>
      </c>
      <c r="B14" s="4"/>
      <c r="C14" s="13" t="str">
        <f aca="false">IF(B14="","",IFERROR(INDEX(Ana_Malzeme!$B$5:$B$204,MATCH(B14,Ana_Malzeme!$A$5:$A$204,0)),"KATALOGDA YOK"))</f>
        <v/>
      </c>
      <c r="D14" s="18"/>
      <c r="E14" s="13" t="str">
        <f aca="false">IF(B14="","",IFERROR(INDEX(Ana_Malzeme!$D$5:$D$204,MATCH(B14,Ana_Malzeme!$A$5:$A$204,0)),""))</f>
        <v/>
      </c>
      <c r="F14" s="15" t="str">
        <f aca="false">IF(B14="","",IFERROR(INDEX(Fiyat!$F$5:$F$204,MATCH(B14,Fiyat!$A$5:$A$204,0))+0,"FİYAT YOK"))</f>
        <v/>
      </c>
      <c r="G14" s="15" t="n">
        <f aca="false">IF(OR(B14="",D14="",NOT(ISNUMBER(F14))),0,D14*F14)</f>
        <v>0</v>
      </c>
      <c r="H14" s="13" t="str">
        <f aca="false">IF(B14="","",IF(C14="KATALOGDA YOK","Katalogda yok",IF(NOT(ISNUMBER(F14)),"Fiyat girilmemiş","")))</f>
        <v/>
      </c>
    </row>
    <row r="15" customFormat="false" ht="15" hidden="false" customHeight="false" outlineLevel="0" collapsed="false">
      <c r="A15" s="13" t="n">
        <v>11</v>
      </c>
      <c r="B15" s="4"/>
      <c r="C15" s="13" t="str">
        <f aca="false">IF(B15="","",IFERROR(INDEX(Ana_Malzeme!$B$5:$B$204,MATCH(B15,Ana_Malzeme!$A$5:$A$204,0)),"KATALOGDA YOK"))</f>
        <v/>
      </c>
      <c r="D15" s="18"/>
      <c r="E15" s="13" t="str">
        <f aca="false">IF(B15="","",IFERROR(INDEX(Ana_Malzeme!$D$5:$D$204,MATCH(B15,Ana_Malzeme!$A$5:$A$204,0)),""))</f>
        <v/>
      </c>
      <c r="F15" s="15" t="str">
        <f aca="false">IF(B15="","",IFERROR(INDEX(Fiyat!$F$5:$F$204,MATCH(B15,Fiyat!$A$5:$A$204,0))+0,"FİYAT YOK"))</f>
        <v/>
      </c>
      <c r="G15" s="15" t="n">
        <f aca="false">IF(OR(B15="",D15="",NOT(ISNUMBER(F15))),0,D15*F15)</f>
        <v>0</v>
      </c>
      <c r="H15" s="13" t="str">
        <f aca="false">IF(B15="","",IF(C15="KATALOGDA YOK","Katalogda yok",IF(NOT(ISNUMBER(F15)),"Fiyat girilmemiş","")))</f>
        <v/>
      </c>
    </row>
    <row r="16" customFormat="false" ht="15" hidden="false" customHeight="false" outlineLevel="0" collapsed="false">
      <c r="A16" s="13" t="n">
        <v>12</v>
      </c>
      <c r="B16" s="4"/>
      <c r="C16" s="13" t="str">
        <f aca="false">IF(B16="","",IFERROR(INDEX(Ana_Malzeme!$B$5:$B$204,MATCH(B16,Ana_Malzeme!$A$5:$A$204,0)),"KATALOGDA YOK"))</f>
        <v/>
      </c>
      <c r="D16" s="18"/>
      <c r="E16" s="13" t="str">
        <f aca="false">IF(B16="","",IFERROR(INDEX(Ana_Malzeme!$D$5:$D$204,MATCH(B16,Ana_Malzeme!$A$5:$A$204,0)),""))</f>
        <v/>
      </c>
      <c r="F16" s="15" t="str">
        <f aca="false">IF(B16="","",IFERROR(INDEX(Fiyat!$F$5:$F$204,MATCH(B16,Fiyat!$A$5:$A$204,0))+0,"FİYAT YOK"))</f>
        <v/>
      </c>
      <c r="G16" s="15" t="n">
        <f aca="false">IF(OR(B16="",D16="",NOT(ISNUMBER(F16))),0,D16*F16)</f>
        <v>0</v>
      </c>
      <c r="H16" s="13" t="str">
        <f aca="false">IF(B16="","",IF(C16="KATALOGDA YOK","Katalogda yok",IF(NOT(ISNUMBER(F16)),"Fiyat girilmemiş","")))</f>
        <v/>
      </c>
    </row>
    <row r="17" customFormat="false" ht="15" hidden="false" customHeight="false" outlineLevel="0" collapsed="false">
      <c r="A17" s="13" t="n">
        <v>13</v>
      </c>
      <c r="B17" s="4"/>
      <c r="C17" s="13" t="str">
        <f aca="false">IF(B17="","",IFERROR(INDEX(Ana_Malzeme!$B$5:$B$204,MATCH(B17,Ana_Malzeme!$A$5:$A$204,0)),"KATALOGDA YOK"))</f>
        <v/>
      </c>
      <c r="D17" s="18"/>
      <c r="E17" s="13" t="str">
        <f aca="false">IF(B17="","",IFERROR(INDEX(Ana_Malzeme!$D$5:$D$204,MATCH(B17,Ana_Malzeme!$A$5:$A$204,0)),""))</f>
        <v/>
      </c>
      <c r="F17" s="15" t="str">
        <f aca="false">IF(B17="","",IFERROR(INDEX(Fiyat!$F$5:$F$204,MATCH(B17,Fiyat!$A$5:$A$204,0))+0,"FİYAT YOK"))</f>
        <v/>
      </c>
      <c r="G17" s="15" t="n">
        <f aca="false">IF(OR(B17="",D17="",NOT(ISNUMBER(F17))),0,D17*F17)</f>
        <v>0</v>
      </c>
      <c r="H17" s="13" t="str">
        <f aca="false">IF(B17="","",IF(C17="KATALOGDA YOK","Katalogda yok",IF(NOT(ISNUMBER(F17)),"Fiyat girilmemiş","")))</f>
        <v/>
      </c>
    </row>
    <row r="18" customFormat="false" ht="15" hidden="false" customHeight="false" outlineLevel="0" collapsed="false">
      <c r="A18" s="13" t="n">
        <v>14</v>
      </c>
      <c r="B18" s="4"/>
      <c r="C18" s="13" t="str">
        <f aca="false">IF(B18="","",IFERROR(INDEX(Ana_Malzeme!$B$5:$B$204,MATCH(B18,Ana_Malzeme!$A$5:$A$204,0)),"KATALOGDA YOK"))</f>
        <v/>
      </c>
      <c r="D18" s="18"/>
      <c r="E18" s="13" t="str">
        <f aca="false">IF(B18="","",IFERROR(INDEX(Ana_Malzeme!$D$5:$D$204,MATCH(B18,Ana_Malzeme!$A$5:$A$204,0)),""))</f>
        <v/>
      </c>
      <c r="F18" s="15" t="str">
        <f aca="false">IF(B18="","",IFERROR(INDEX(Fiyat!$F$5:$F$204,MATCH(B18,Fiyat!$A$5:$A$204,0))+0,"FİYAT YOK"))</f>
        <v/>
      </c>
      <c r="G18" s="15" t="n">
        <f aca="false">IF(OR(B18="",D18="",NOT(ISNUMBER(F18))),0,D18*F18)</f>
        <v>0</v>
      </c>
      <c r="H18" s="13" t="str">
        <f aca="false">IF(B18="","",IF(C18="KATALOGDA YOK","Katalogda yok",IF(NOT(ISNUMBER(F18)),"Fiyat girilmemiş","")))</f>
        <v/>
      </c>
    </row>
    <row r="19" customFormat="false" ht="15" hidden="false" customHeight="false" outlineLevel="0" collapsed="false">
      <c r="A19" s="13" t="n">
        <v>15</v>
      </c>
      <c r="B19" s="4"/>
      <c r="C19" s="13" t="str">
        <f aca="false">IF(B19="","",IFERROR(INDEX(Ana_Malzeme!$B$5:$B$204,MATCH(B19,Ana_Malzeme!$A$5:$A$204,0)),"KATALOGDA YOK"))</f>
        <v/>
      </c>
      <c r="D19" s="18"/>
      <c r="E19" s="13" t="str">
        <f aca="false">IF(B19="","",IFERROR(INDEX(Ana_Malzeme!$D$5:$D$204,MATCH(B19,Ana_Malzeme!$A$5:$A$204,0)),""))</f>
        <v/>
      </c>
      <c r="F19" s="15" t="str">
        <f aca="false">IF(B19="","",IFERROR(INDEX(Fiyat!$F$5:$F$204,MATCH(B19,Fiyat!$A$5:$A$204,0))+0,"FİYAT YOK"))</f>
        <v/>
      </c>
      <c r="G19" s="15" t="n">
        <f aca="false">IF(OR(B19="",D19="",NOT(ISNUMBER(F19))),0,D19*F19)</f>
        <v>0</v>
      </c>
      <c r="H19" s="13" t="str">
        <f aca="false">IF(B19="","",IF(C19="KATALOGDA YOK","Katalogda yok",IF(NOT(ISNUMBER(F19)),"Fiyat girilmemiş","")))</f>
        <v/>
      </c>
    </row>
    <row r="20" customFormat="false" ht="15" hidden="false" customHeight="false" outlineLevel="0" collapsed="false">
      <c r="A20" s="13" t="n">
        <v>16</v>
      </c>
      <c r="B20" s="4"/>
      <c r="C20" s="13" t="str">
        <f aca="false">IF(B20="","",IFERROR(INDEX(Ana_Malzeme!$B$5:$B$204,MATCH(B20,Ana_Malzeme!$A$5:$A$204,0)),"KATALOGDA YOK"))</f>
        <v/>
      </c>
      <c r="D20" s="18"/>
      <c r="E20" s="13" t="str">
        <f aca="false">IF(B20="","",IFERROR(INDEX(Ana_Malzeme!$D$5:$D$204,MATCH(B20,Ana_Malzeme!$A$5:$A$204,0)),""))</f>
        <v/>
      </c>
      <c r="F20" s="15" t="str">
        <f aca="false">IF(B20="","",IFERROR(INDEX(Fiyat!$F$5:$F$204,MATCH(B20,Fiyat!$A$5:$A$204,0))+0,"FİYAT YOK"))</f>
        <v/>
      </c>
      <c r="G20" s="15" t="n">
        <f aca="false">IF(OR(B20="",D20="",NOT(ISNUMBER(F20))),0,D20*F20)</f>
        <v>0</v>
      </c>
      <c r="H20" s="13" t="str">
        <f aca="false">IF(B20="","",IF(C20="KATALOGDA YOK","Katalogda yok",IF(NOT(ISNUMBER(F20)),"Fiyat girilmemiş","")))</f>
        <v/>
      </c>
    </row>
    <row r="21" customFormat="false" ht="15" hidden="false" customHeight="false" outlineLevel="0" collapsed="false">
      <c r="A21" s="13" t="n">
        <v>17</v>
      </c>
      <c r="B21" s="4"/>
      <c r="C21" s="13" t="str">
        <f aca="false">IF(B21="","",IFERROR(INDEX(Ana_Malzeme!$B$5:$B$204,MATCH(B21,Ana_Malzeme!$A$5:$A$204,0)),"KATALOGDA YOK"))</f>
        <v/>
      </c>
      <c r="D21" s="18"/>
      <c r="E21" s="13" t="str">
        <f aca="false">IF(B21="","",IFERROR(INDEX(Ana_Malzeme!$D$5:$D$204,MATCH(B21,Ana_Malzeme!$A$5:$A$204,0)),""))</f>
        <v/>
      </c>
      <c r="F21" s="15" t="str">
        <f aca="false">IF(B21="","",IFERROR(INDEX(Fiyat!$F$5:$F$204,MATCH(B21,Fiyat!$A$5:$A$204,0))+0,"FİYAT YOK"))</f>
        <v/>
      </c>
      <c r="G21" s="15" t="n">
        <f aca="false">IF(OR(B21="",D21="",NOT(ISNUMBER(F21))),0,D21*F21)</f>
        <v>0</v>
      </c>
      <c r="H21" s="13" t="str">
        <f aca="false">IF(B21="","",IF(C21="KATALOGDA YOK","Katalogda yok",IF(NOT(ISNUMBER(F21)),"Fiyat girilmemiş","")))</f>
        <v/>
      </c>
    </row>
    <row r="22" customFormat="false" ht="15" hidden="false" customHeight="false" outlineLevel="0" collapsed="false">
      <c r="A22" s="13" t="n">
        <v>18</v>
      </c>
      <c r="B22" s="4"/>
      <c r="C22" s="13" t="str">
        <f aca="false">IF(B22="","",IFERROR(INDEX(Ana_Malzeme!$B$5:$B$204,MATCH(B22,Ana_Malzeme!$A$5:$A$204,0)),"KATALOGDA YOK"))</f>
        <v/>
      </c>
      <c r="D22" s="18"/>
      <c r="E22" s="13" t="str">
        <f aca="false">IF(B22="","",IFERROR(INDEX(Ana_Malzeme!$D$5:$D$204,MATCH(B22,Ana_Malzeme!$A$5:$A$204,0)),""))</f>
        <v/>
      </c>
      <c r="F22" s="15" t="str">
        <f aca="false">IF(B22="","",IFERROR(INDEX(Fiyat!$F$5:$F$204,MATCH(B22,Fiyat!$A$5:$A$204,0))+0,"FİYAT YOK"))</f>
        <v/>
      </c>
      <c r="G22" s="15" t="n">
        <f aca="false">IF(OR(B22="",D22="",NOT(ISNUMBER(F22))),0,D22*F22)</f>
        <v>0</v>
      </c>
      <c r="H22" s="13" t="str">
        <f aca="false">IF(B22="","",IF(C22="KATALOGDA YOK","Katalogda yok",IF(NOT(ISNUMBER(F22)),"Fiyat girilmemiş","")))</f>
        <v/>
      </c>
    </row>
    <row r="23" customFormat="false" ht="15" hidden="false" customHeight="false" outlineLevel="0" collapsed="false">
      <c r="A23" s="13" t="n">
        <v>19</v>
      </c>
      <c r="B23" s="4"/>
      <c r="C23" s="13" t="str">
        <f aca="false">IF(B23="","",IFERROR(INDEX(Ana_Malzeme!$B$5:$B$204,MATCH(B23,Ana_Malzeme!$A$5:$A$204,0)),"KATALOGDA YOK"))</f>
        <v/>
      </c>
      <c r="D23" s="18"/>
      <c r="E23" s="13" t="str">
        <f aca="false">IF(B23="","",IFERROR(INDEX(Ana_Malzeme!$D$5:$D$204,MATCH(B23,Ana_Malzeme!$A$5:$A$204,0)),""))</f>
        <v/>
      </c>
      <c r="F23" s="15" t="str">
        <f aca="false">IF(B23="","",IFERROR(INDEX(Fiyat!$F$5:$F$204,MATCH(B23,Fiyat!$A$5:$A$204,0))+0,"FİYAT YOK"))</f>
        <v/>
      </c>
      <c r="G23" s="15" t="n">
        <f aca="false">IF(OR(B23="",D23="",NOT(ISNUMBER(F23))),0,D23*F23)</f>
        <v>0</v>
      </c>
      <c r="H23" s="13" t="str">
        <f aca="false">IF(B23="","",IF(C23="KATALOGDA YOK","Katalogda yok",IF(NOT(ISNUMBER(F23)),"Fiyat girilmemiş","")))</f>
        <v/>
      </c>
    </row>
    <row r="24" customFormat="false" ht="15" hidden="false" customHeight="false" outlineLevel="0" collapsed="false">
      <c r="A24" s="13" t="n">
        <v>20</v>
      </c>
      <c r="B24" s="4"/>
      <c r="C24" s="13" t="str">
        <f aca="false">IF(B24="","",IFERROR(INDEX(Ana_Malzeme!$B$5:$B$204,MATCH(B24,Ana_Malzeme!$A$5:$A$204,0)),"KATALOGDA YOK"))</f>
        <v/>
      </c>
      <c r="D24" s="18"/>
      <c r="E24" s="13" t="str">
        <f aca="false">IF(B24="","",IFERROR(INDEX(Ana_Malzeme!$D$5:$D$204,MATCH(B24,Ana_Malzeme!$A$5:$A$204,0)),""))</f>
        <v/>
      </c>
      <c r="F24" s="15" t="str">
        <f aca="false">IF(B24="","",IFERROR(INDEX(Fiyat!$F$5:$F$204,MATCH(B24,Fiyat!$A$5:$A$204,0))+0,"FİYAT YOK"))</f>
        <v/>
      </c>
      <c r="G24" s="15" t="n">
        <f aca="false">IF(OR(B24="",D24="",NOT(ISNUMBER(F24))),0,D24*F24)</f>
        <v>0</v>
      </c>
      <c r="H24" s="13" t="str">
        <f aca="false">IF(B24="","",IF(C24="KATALOGDA YOK","Katalogda yok",IF(NOT(ISNUMBER(F24)),"Fiyat girilmemiş","")))</f>
        <v/>
      </c>
    </row>
    <row r="25" customFormat="false" ht="15" hidden="false" customHeight="false" outlineLevel="0" collapsed="false">
      <c r="A25" s="13" t="n">
        <v>21</v>
      </c>
      <c r="B25" s="4"/>
      <c r="C25" s="13" t="str">
        <f aca="false">IF(B25="","",IFERROR(INDEX(Ana_Malzeme!$B$5:$B$204,MATCH(B25,Ana_Malzeme!$A$5:$A$204,0)),"KATALOGDA YOK"))</f>
        <v/>
      </c>
      <c r="D25" s="18"/>
      <c r="E25" s="13" t="str">
        <f aca="false">IF(B25="","",IFERROR(INDEX(Ana_Malzeme!$D$5:$D$204,MATCH(B25,Ana_Malzeme!$A$5:$A$204,0)),""))</f>
        <v/>
      </c>
      <c r="F25" s="15" t="str">
        <f aca="false">IF(B25="","",IFERROR(INDEX(Fiyat!$F$5:$F$204,MATCH(B25,Fiyat!$A$5:$A$204,0))+0,"FİYAT YOK"))</f>
        <v/>
      </c>
      <c r="G25" s="15" t="n">
        <f aca="false">IF(OR(B25="",D25="",NOT(ISNUMBER(F25))),0,D25*F25)</f>
        <v>0</v>
      </c>
      <c r="H25" s="13" t="str">
        <f aca="false">IF(B25="","",IF(C25="KATALOGDA YOK","Katalogda yok",IF(NOT(ISNUMBER(F25)),"Fiyat girilmemiş","")))</f>
        <v/>
      </c>
    </row>
    <row r="26" customFormat="false" ht="15" hidden="false" customHeight="false" outlineLevel="0" collapsed="false">
      <c r="A26" s="13" t="n">
        <v>22</v>
      </c>
      <c r="B26" s="4"/>
      <c r="C26" s="13" t="str">
        <f aca="false">IF(B26="","",IFERROR(INDEX(Ana_Malzeme!$B$5:$B$204,MATCH(B26,Ana_Malzeme!$A$5:$A$204,0)),"KATALOGDA YOK"))</f>
        <v/>
      </c>
      <c r="D26" s="18"/>
      <c r="E26" s="13" t="str">
        <f aca="false">IF(B26="","",IFERROR(INDEX(Ana_Malzeme!$D$5:$D$204,MATCH(B26,Ana_Malzeme!$A$5:$A$204,0)),""))</f>
        <v/>
      </c>
      <c r="F26" s="15" t="str">
        <f aca="false">IF(B26="","",IFERROR(INDEX(Fiyat!$F$5:$F$204,MATCH(B26,Fiyat!$A$5:$A$204,0))+0,"FİYAT YOK"))</f>
        <v/>
      </c>
      <c r="G26" s="15" t="n">
        <f aca="false">IF(OR(B26="",D26="",NOT(ISNUMBER(F26))),0,D26*F26)</f>
        <v>0</v>
      </c>
      <c r="H26" s="13" t="str">
        <f aca="false">IF(B26="","",IF(C26="KATALOGDA YOK","Katalogda yok",IF(NOT(ISNUMBER(F26)),"Fiyat girilmemiş","")))</f>
        <v/>
      </c>
    </row>
    <row r="27" customFormat="false" ht="15" hidden="false" customHeight="false" outlineLevel="0" collapsed="false">
      <c r="A27" s="13" t="n">
        <v>23</v>
      </c>
      <c r="B27" s="4"/>
      <c r="C27" s="13" t="str">
        <f aca="false">IF(B27="","",IFERROR(INDEX(Ana_Malzeme!$B$5:$B$204,MATCH(B27,Ana_Malzeme!$A$5:$A$204,0)),"KATALOGDA YOK"))</f>
        <v/>
      </c>
      <c r="D27" s="18"/>
      <c r="E27" s="13" t="str">
        <f aca="false">IF(B27="","",IFERROR(INDEX(Ana_Malzeme!$D$5:$D$204,MATCH(B27,Ana_Malzeme!$A$5:$A$204,0)),""))</f>
        <v/>
      </c>
      <c r="F27" s="15" t="str">
        <f aca="false">IF(B27="","",IFERROR(INDEX(Fiyat!$F$5:$F$204,MATCH(B27,Fiyat!$A$5:$A$204,0))+0,"FİYAT YOK"))</f>
        <v/>
      </c>
      <c r="G27" s="15" t="n">
        <f aca="false">IF(OR(B27="",D27="",NOT(ISNUMBER(F27))),0,D27*F27)</f>
        <v>0</v>
      </c>
      <c r="H27" s="13" t="str">
        <f aca="false">IF(B27="","",IF(C27="KATALOGDA YOK","Katalogda yok",IF(NOT(ISNUMBER(F27)),"Fiyat girilmemiş","")))</f>
        <v/>
      </c>
    </row>
    <row r="28" customFormat="false" ht="15" hidden="false" customHeight="false" outlineLevel="0" collapsed="false">
      <c r="A28" s="13" t="n">
        <v>24</v>
      </c>
      <c r="B28" s="4"/>
      <c r="C28" s="13" t="str">
        <f aca="false">IF(B28="","",IFERROR(INDEX(Ana_Malzeme!$B$5:$B$204,MATCH(B28,Ana_Malzeme!$A$5:$A$204,0)),"KATALOGDA YOK"))</f>
        <v/>
      </c>
      <c r="D28" s="18"/>
      <c r="E28" s="13" t="str">
        <f aca="false">IF(B28="","",IFERROR(INDEX(Ana_Malzeme!$D$5:$D$204,MATCH(B28,Ana_Malzeme!$A$5:$A$204,0)),""))</f>
        <v/>
      </c>
      <c r="F28" s="15" t="str">
        <f aca="false">IF(B28="","",IFERROR(INDEX(Fiyat!$F$5:$F$204,MATCH(B28,Fiyat!$A$5:$A$204,0))+0,"FİYAT YOK"))</f>
        <v/>
      </c>
      <c r="G28" s="15" t="n">
        <f aca="false">IF(OR(B28="",D28="",NOT(ISNUMBER(F28))),0,D28*F28)</f>
        <v>0</v>
      </c>
      <c r="H28" s="13" t="str">
        <f aca="false">IF(B28="","",IF(C28="KATALOGDA YOK","Katalogda yok",IF(NOT(ISNUMBER(F28)),"Fiyat girilmemiş","")))</f>
        <v/>
      </c>
    </row>
    <row r="29" customFormat="false" ht="15" hidden="false" customHeight="false" outlineLevel="0" collapsed="false">
      <c r="A29" s="13" t="n">
        <v>25</v>
      </c>
      <c r="B29" s="4"/>
      <c r="C29" s="13" t="str">
        <f aca="false">IF(B29="","",IFERROR(INDEX(Ana_Malzeme!$B$5:$B$204,MATCH(B29,Ana_Malzeme!$A$5:$A$204,0)),"KATALOGDA YOK"))</f>
        <v/>
      </c>
      <c r="D29" s="18"/>
      <c r="E29" s="13" t="str">
        <f aca="false">IF(B29="","",IFERROR(INDEX(Ana_Malzeme!$D$5:$D$204,MATCH(B29,Ana_Malzeme!$A$5:$A$204,0)),""))</f>
        <v/>
      </c>
      <c r="F29" s="15" t="str">
        <f aca="false">IF(B29="","",IFERROR(INDEX(Fiyat!$F$5:$F$204,MATCH(B29,Fiyat!$A$5:$A$204,0))+0,"FİYAT YOK"))</f>
        <v/>
      </c>
      <c r="G29" s="15" t="n">
        <f aca="false">IF(OR(B29="",D29="",NOT(ISNUMBER(F29))),0,D29*F29)</f>
        <v>0</v>
      </c>
      <c r="H29" s="13" t="str">
        <f aca="false">IF(B29="","",IF(C29="KATALOGDA YOK","Katalogda yok",IF(NOT(ISNUMBER(F29)),"Fiyat girilmemiş","")))</f>
        <v/>
      </c>
    </row>
    <row r="31" customFormat="false" ht="15" hidden="false" customHeight="false" outlineLevel="0" collapsed="false">
      <c r="F31" s="19" t="s">
        <v>99</v>
      </c>
      <c r="G31" s="20" t="n">
        <f aca="false">SUM(G5:G29)</f>
        <v>24956</v>
      </c>
    </row>
  </sheetData>
  <sheetProtection sheet="true" autoFilter="false"/>
  <conditionalFormatting sqref="H5:H29">
    <cfRule type="expression" priority="2" aboveAverage="0" equalAverage="0" bottom="0" percent="0" rank="0" text="" dxfId="9">
      <formula>H5&lt;&gt;""</formula>
    </cfRule>
  </conditionalFormatting>
  <dataValidations count="2">
    <dataValidation allowBlank="true" error="Bu kod ana katalogda yok. Önce Ana_Malzeme'ye ekleyin." errorStyle="stop" errorTitle="Geçersiz kod" operator="between" showDropDown="false" showErrorMessage="true" showInputMessage="false" sqref="B5:B29" type="list">
      <formula1>Ana_Malzeme!$A$5:$A$204</formula1>
      <formula2>0</formula2>
    </dataValidation>
    <dataValidation allowBlank="true" error="Miktar sıfırdan büyük olmalı." errorStyle="stop" operator="greaterThan" showDropDown="false" showErrorMessage="true" showInputMessage="false" sqref="D5:D2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5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94</v>
      </c>
    </row>
    <row r="4" customFormat="false" ht="30" hidden="false" customHeight="true" outlineLevel="0" collapsed="false">
      <c r="A4" s="9" t="s">
        <v>95</v>
      </c>
      <c r="B4" s="9" t="s">
        <v>21</v>
      </c>
      <c r="C4" s="9" t="s">
        <v>79</v>
      </c>
      <c r="D4" s="9" t="s">
        <v>96</v>
      </c>
      <c r="E4" s="9" t="s">
        <v>24</v>
      </c>
      <c r="F4" s="9" t="s">
        <v>83</v>
      </c>
      <c r="G4" s="9" t="s">
        <v>97</v>
      </c>
      <c r="H4" s="9" t="s">
        <v>98</v>
      </c>
    </row>
    <row r="5" customFormat="false" ht="15" hidden="false" customHeight="false" outlineLevel="0" collapsed="false">
      <c r="A5" s="13" t="n">
        <v>1</v>
      </c>
      <c r="B5" s="4" t="s">
        <v>53</v>
      </c>
      <c r="C5" s="13" t="str">
        <f aca="false">IF(B5="","",IFERROR(INDEX(Ana_Malzeme!$B$5:$B$204,MATCH(B5,Ana_Malzeme!$A$5:$A$204,0)),"KATALOGDA YOK"))</f>
        <v>PLC CPU 14 G/Ç Röle Çıkışlı</v>
      </c>
      <c r="D5" s="18" t="n">
        <v>1</v>
      </c>
      <c r="E5" s="13" t="str">
        <f aca="false">IF(B5="","",IFERROR(INDEX(Ana_Malzeme!$D$5:$D$204,MATCH(B5,Ana_Malzeme!$A$5:$A$204,0)),""))</f>
        <v>adet</v>
      </c>
      <c r="F5" s="15" t="n">
        <f aca="false">IF(B5="","",IFERROR(INDEX(Fiyat!$F$5:$F$204,MATCH(B5,Fiyat!$A$5:$A$204,0))+0,"FİYAT YOK"))</f>
        <v>5850.4</v>
      </c>
      <c r="G5" s="15" t="n">
        <f aca="false">IF(OR(B5="",D5="",NOT(ISNUMBER(F5))),0,D5*F5)</f>
        <v>5850.4</v>
      </c>
      <c r="H5" s="13" t="str">
        <f aca="false">IF(B5="","",IF(C5="KATALOGDA YOK","Katalogda yok",IF(NOT(ISNUMBER(F5)),"Fiyat girilmemiş","")))</f>
        <v/>
      </c>
    </row>
    <row r="6" customFormat="false" ht="15" hidden="false" customHeight="false" outlineLevel="0" collapsed="false">
      <c r="A6" s="13" t="n">
        <v>2</v>
      </c>
      <c r="B6" s="4" t="s">
        <v>56</v>
      </c>
      <c r="C6" s="13" t="str">
        <f aca="false">IF(B6="","",IFERROR(INDEX(Ana_Malzeme!$B$5:$B$204,MATCH(B6,Ana_Malzeme!$A$5:$A$204,0)),"KATALOGDA YOK"))</f>
        <v>HMI Dokunmatik Panel 7"</v>
      </c>
      <c r="D6" s="18" t="n">
        <v>1</v>
      </c>
      <c r="E6" s="13" t="str">
        <f aca="false">IF(B6="","",IFERROR(INDEX(Ana_Malzeme!$D$5:$D$204,MATCH(B6,Ana_Malzeme!$A$5:$A$204,0)),""))</f>
        <v>adet</v>
      </c>
      <c r="F6" s="15" t="n">
        <f aca="false">IF(B6="","",IFERROR(INDEX(Fiyat!$F$5:$F$204,MATCH(B6,Fiyat!$A$5:$A$204,0))+0,"FİYAT YOK"))</f>
        <v>7745.6</v>
      </c>
      <c r="G6" s="15" t="n">
        <f aca="false">IF(OR(B6="",D6="",NOT(ISNUMBER(F6))),0,D6*F6)</f>
        <v>7745.6</v>
      </c>
      <c r="H6" s="13" t="str">
        <f aca="false">IF(B6="","",IF(C6="KATALOGDA YOK","Katalogda yok",IF(NOT(ISNUMBER(F6)),"Fiyat girilmemiş","")))</f>
        <v/>
      </c>
    </row>
    <row r="7" customFormat="false" ht="15" hidden="false" customHeight="false" outlineLevel="0" collapsed="false">
      <c r="A7" s="13" t="n">
        <v>3</v>
      </c>
      <c r="B7" s="4" t="s">
        <v>58</v>
      </c>
      <c r="C7" s="13" t="str">
        <f aca="false">IF(B7="","",IFERROR(INDEX(Ana_Malzeme!$B$5:$B$204,MATCH(B7,Ana_Malzeme!$A$5:$A$204,0)),"KATALOGDA YOK"))</f>
        <v>Kablo 3x1,5 mm² Esnek</v>
      </c>
      <c r="D7" s="18" t="n">
        <v>35</v>
      </c>
      <c r="E7" s="13" t="str">
        <f aca="false">IF(B7="","",IFERROR(INDEX(Ana_Malzeme!$D$5:$D$204,MATCH(B7,Ana_Malzeme!$A$5:$A$204,0)),""))</f>
        <v>mt</v>
      </c>
      <c r="F7" s="15" t="n">
        <f aca="false">IF(B7="","",IFERROR(INDEX(Fiyat!$F$5:$F$204,MATCH(B7,Fiyat!$A$5:$A$204,0))+0,"FİYAT YOK"))</f>
        <v>21.5</v>
      </c>
      <c r="G7" s="15" t="n">
        <f aca="false">IF(OR(B7="",D7="",NOT(ISNUMBER(F7))),0,D7*F7)</f>
        <v>752.5</v>
      </c>
      <c r="H7" s="13" t="str">
        <f aca="false">IF(B7="","",IF(C7="KATALOGDA YOK","Katalogda yok",IF(NOT(ISNUMBER(F7)),"Fiyat girilmemiş","")))</f>
        <v/>
      </c>
    </row>
    <row r="8" customFormat="false" ht="15" hidden="false" customHeight="false" outlineLevel="0" collapsed="false">
      <c r="A8" s="13" t="n">
        <v>4</v>
      </c>
      <c r="B8" s="4" t="s">
        <v>60</v>
      </c>
      <c r="C8" s="13" t="str">
        <f aca="false">IF(B8="","",IFERROR(INDEX(Ana_Malzeme!$B$5:$B$204,MATCH(B8,Ana_Malzeme!$A$5:$A$204,0)),"KATALOGDA YOK"))</f>
        <v>Endüktif Sensör M12 PNP</v>
      </c>
      <c r="D8" s="18" t="n">
        <v>6</v>
      </c>
      <c r="E8" s="13" t="str">
        <f aca="false">IF(B8="","",IFERROR(INDEX(Ana_Malzeme!$D$5:$D$204,MATCH(B8,Ana_Malzeme!$A$5:$A$204,0)),""))</f>
        <v>adet</v>
      </c>
      <c r="F8" s="15" t="n">
        <f aca="false">IF(B8="","",IFERROR(INDEX(Fiyat!$F$5:$F$204,MATCH(B8,Fiyat!$A$5:$A$204,0))+0,"FİYAT YOK"))</f>
        <v>263.68</v>
      </c>
      <c r="G8" s="15" t="n">
        <f aca="false">IF(OR(B8="",D8="",NOT(ISNUMBER(F8))),0,D8*F8)</f>
        <v>1582.08</v>
      </c>
      <c r="H8" s="13" t="str">
        <f aca="false">IF(B8="","",IF(C8="KATALOGDA YOK","Katalogda yok",IF(NOT(ISNUMBER(F8)),"Fiyat girilmemiş","")))</f>
        <v/>
      </c>
    </row>
    <row r="9" customFormat="false" ht="15" hidden="false" customHeight="false" outlineLevel="0" collapsed="false">
      <c r="A9" s="13" t="n">
        <v>5</v>
      </c>
      <c r="B9" s="4" t="s">
        <v>63</v>
      </c>
      <c r="C9" s="13" t="str">
        <f aca="false">IF(B9="","",IFERROR(INDEX(Ana_Malzeme!$B$5:$B$204,MATCH(B9,Ana_Malzeme!$A$5:$A$204,0)),"KATALOGDA YOK"))</f>
        <v>Röle 24 V DC 8 pin + Soket</v>
      </c>
      <c r="D9" s="18" t="n">
        <v>8</v>
      </c>
      <c r="E9" s="13" t="str">
        <f aca="false">IF(B9="","",IFERROR(INDEX(Ana_Malzeme!$D$5:$D$204,MATCH(B9,Ana_Malzeme!$A$5:$A$204,0)),""))</f>
        <v>adet</v>
      </c>
      <c r="F9" s="15" t="n">
        <f aca="false">IF(B9="","",IFERROR(INDEX(Fiyat!$F$5:$F$204,MATCH(B9,Fiyat!$A$5:$A$204,0))+0,"FİYAT YOK"))</f>
        <v>127.72</v>
      </c>
      <c r="G9" s="15" t="n">
        <f aca="false">IF(OR(B9="",D9="",NOT(ISNUMBER(F9))),0,D9*F9)</f>
        <v>1021.76</v>
      </c>
      <c r="H9" s="13" t="str">
        <f aca="false">IF(B9="","",IF(C9="KATALOGDA YOK","Katalogda yok",IF(NOT(ISNUMBER(F9)),"Fiyat girilmemiş","")))</f>
        <v/>
      </c>
    </row>
    <row r="10" customFormat="false" ht="15" hidden="false" customHeight="false" outlineLevel="0" collapsed="false">
      <c r="A10" s="13" t="n">
        <v>6</v>
      </c>
      <c r="B10" s="4"/>
      <c r="C10" s="13" t="str">
        <f aca="false">IF(B10="","",IFERROR(INDEX(Ana_Malzeme!$B$5:$B$204,MATCH(B10,Ana_Malzeme!$A$5:$A$204,0)),"KATALOGDA YOK"))</f>
        <v/>
      </c>
      <c r="D10" s="18"/>
      <c r="E10" s="13" t="str">
        <f aca="false">IF(B10="","",IFERROR(INDEX(Ana_Malzeme!$D$5:$D$204,MATCH(B10,Ana_Malzeme!$A$5:$A$204,0)),""))</f>
        <v/>
      </c>
      <c r="F10" s="15" t="str">
        <f aca="false">IF(B10="","",IFERROR(INDEX(Fiyat!$F$5:$F$204,MATCH(B10,Fiyat!$A$5:$A$204,0))+0,"FİYAT YOK"))</f>
        <v/>
      </c>
      <c r="G10" s="15" t="n">
        <f aca="false">IF(OR(B10="",D10="",NOT(ISNUMBER(F10))),0,D10*F10)</f>
        <v>0</v>
      </c>
      <c r="H10" s="13" t="str">
        <f aca="false">IF(B10="","",IF(C10="KATALOGDA YOK","Katalogda yok",IF(NOT(ISNUMBER(F10)),"Fiyat girilmemiş","")))</f>
        <v/>
      </c>
    </row>
    <row r="11" customFormat="false" ht="15" hidden="false" customHeight="false" outlineLevel="0" collapsed="false">
      <c r="A11" s="13" t="n">
        <v>7</v>
      </c>
      <c r="B11" s="4"/>
      <c r="C11" s="13" t="str">
        <f aca="false">IF(B11="","",IFERROR(INDEX(Ana_Malzeme!$B$5:$B$204,MATCH(B11,Ana_Malzeme!$A$5:$A$204,0)),"KATALOGDA YOK"))</f>
        <v/>
      </c>
      <c r="D11" s="18"/>
      <c r="E11" s="13" t="str">
        <f aca="false">IF(B11="","",IFERROR(INDEX(Ana_Malzeme!$D$5:$D$204,MATCH(B11,Ana_Malzeme!$A$5:$A$204,0)),""))</f>
        <v/>
      </c>
      <c r="F11" s="15" t="str">
        <f aca="false">IF(B11="","",IFERROR(INDEX(Fiyat!$F$5:$F$204,MATCH(B11,Fiyat!$A$5:$A$204,0))+0,"FİYAT YOK"))</f>
        <v/>
      </c>
      <c r="G11" s="15" t="n">
        <f aca="false">IF(OR(B11="",D11="",NOT(ISNUMBER(F11))),0,D11*F11)</f>
        <v>0</v>
      </c>
      <c r="H11" s="13" t="str">
        <f aca="false">IF(B11="","",IF(C11="KATALOGDA YOK","Katalogda yok",IF(NOT(ISNUMBER(F11)),"Fiyat girilmemiş","")))</f>
        <v/>
      </c>
    </row>
    <row r="12" customFormat="false" ht="15" hidden="false" customHeight="false" outlineLevel="0" collapsed="false">
      <c r="A12" s="13" t="n">
        <v>8</v>
      </c>
      <c r="B12" s="4"/>
      <c r="C12" s="13" t="str">
        <f aca="false">IF(B12="","",IFERROR(INDEX(Ana_Malzeme!$B$5:$B$204,MATCH(B12,Ana_Malzeme!$A$5:$A$204,0)),"KATALOGDA YOK"))</f>
        <v/>
      </c>
      <c r="D12" s="18"/>
      <c r="E12" s="13" t="str">
        <f aca="false">IF(B12="","",IFERROR(INDEX(Ana_Malzeme!$D$5:$D$204,MATCH(B12,Ana_Malzeme!$A$5:$A$204,0)),""))</f>
        <v/>
      </c>
      <c r="F12" s="15" t="str">
        <f aca="false">IF(B12="","",IFERROR(INDEX(Fiyat!$F$5:$F$204,MATCH(B12,Fiyat!$A$5:$A$204,0))+0,"FİYAT YOK"))</f>
        <v/>
      </c>
      <c r="G12" s="15" t="n">
        <f aca="false">IF(OR(B12="",D12="",NOT(ISNUMBER(F12))),0,D12*F12)</f>
        <v>0</v>
      </c>
      <c r="H12" s="13" t="str">
        <f aca="false">IF(B12="","",IF(C12="KATALOGDA YOK","Katalogda yok",IF(NOT(ISNUMBER(F12)),"Fiyat girilmemiş","")))</f>
        <v/>
      </c>
    </row>
    <row r="13" customFormat="false" ht="15" hidden="false" customHeight="false" outlineLevel="0" collapsed="false">
      <c r="A13" s="13" t="n">
        <v>9</v>
      </c>
      <c r="B13" s="4"/>
      <c r="C13" s="13" t="str">
        <f aca="false">IF(B13="","",IFERROR(INDEX(Ana_Malzeme!$B$5:$B$204,MATCH(B13,Ana_Malzeme!$A$5:$A$204,0)),"KATALOGDA YOK"))</f>
        <v/>
      </c>
      <c r="D13" s="18"/>
      <c r="E13" s="13" t="str">
        <f aca="false">IF(B13="","",IFERROR(INDEX(Ana_Malzeme!$D$5:$D$204,MATCH(B13,Ana_Malzeme!$A$5:$A$204,0)),""))</f>
        <v/>
      </c>
      <c r="F13" s="15" t="str">
        <f aca="false">IF(B13="","",IFERROR(INDEX(Fiyat!$F$5:$F$204,MATCH(B13,Fiyat!$A$5:$A$204,0))+0,"FİYAT YOK"))</f>
        <v/>
      </c>
      <c r="G13" s="15" t="n">
        <f aca="false">IF(OR(B13="",D13="",NOT(ISNUMBER(F13))),0,D13*F13)</f>
        <v>0</v>
      </c>
      <c r="H13" s="13" t="str">
        <f aca="false">IF(B13="","",IF(C13="KATALOGDA YOK","Katalogda yok",IF(NOT(ISNUMBER(F13)),"Fiyat girilmemiş","")))</f>
        <v/>
      </c>
    </row>
    <row r="14" customFormat="false" ht="15" hidden="false" customHeight="false" outlineLevel="0" collapsed="false">
      <c r="A14" s="13" t="n">
        <v>10</v>
      </c>
      <c r="B14" s="4"/>
      <c r="C14" s="13" t="str">
        <f aca="false">IF(B14="","",IFERROR(INDEX(Ana_Malzeme!$B$5:$B$204,MATCH(B14,Ana_Malzeme!$A$5:$A$204,0)),"KATALOGDA YOK"))</f>
        <v/>
      </c>
      <c r="D14" s="18"/>
      <c r="E14" s="13" t="str">
        <f aca="false">IF(B14="","",IFERROR(INDEX(Ana_Malzeme!$D$5:$D$204,MATCH(B14,Ana_Malzeme!$A$5:$A$204,0)),""))</f>
        <v/>
      </c>
      <c r="F14" s="15" t="str">
        <f aca="false">IF(B14="","",IFERROR(INDEX(Fiyat!$F$5:$F$204,MATCH(B14,Fiyat!$A$5:$A$204,0))+0,"FİYAT YOK"))</f>
        <v/>
      </c>
      <c r="G14" s="15" t="n">
        <f aca="false">IF(OR(B14="",D14="",NOT(ISNUMBER(F14))),0,D14*F14)</f>
        <v>0</v>
      </c>
      <c r="H14" s="13" t="str">
        <f aca="false">IF(B14="","",IF(C14="KATALOGDA YOK","Katalogda yok",IF(NOT(ISNUMBER(F14)),"Fiyat girilmemiş","")))</f>
        <v/>
      </c>
    </row>
    <row r="15" customFormat="false" ht="15" hidden="false" customHeight="false" outlineLevel="0" collapsed="false">
      <c r="A15" s="13" t="n">
        <v>11</v>
      </c>
      <c r="B15" s="4"/>
      <c r="C15" s="13" t="str">
        <f aca="false">IF(B15="","",IFERROR(INDEX(Ana_Malzeme!$B$5:$B$204,MATCH(B15,Ana_Malzeme!$A$5:$A$204,0)),"KATALOGDA YOK"))</f>
        <v/>
      </c>
      <c r="D15" s="18"/>
      <c r="E15" s="13" t="str">
        <f aca="false">IF(B15="","",IFERROR(INDEX(Ana_Malzeme!$D$5:$D$204,MATCH(B15,Ana_Malzeme!$A$5:$A$204,0)),""))</f>
        <v/>
      </c>
      <c r="F15" s="15" t="str">
        <f aca="false">IF(B15="","",IFERROR(INDEX(Fiyat!$F$5:$F$204,MATCH(B15,Fiyat!$A$5:$A$204,0))+0,"FİYAT YOK"))</f>
        <v/>
      </c>
      <c r="G15" s="15" t="n">
        <f aca="false">IF(OR(B15="",D15="",NOT(ISNUMBER(F15))),0,D15*F15)</f>
        <v>0</v>
      </c>
      <c r="H15" s="13" t="str">
        <f aca="false">IF(B15="","",IF(C15="KATALOGDA YOK","Katalogda yok",IF(NOT(ISNUMBER(F15)),"Fiyat girilmemiş","")))</f>
        <v/>
      </c>
    </row>
    <row r="16" customFormat="false" ht="15" hidden="false" customHeight="false" outlineLevel="0" collapsed="false">
      <c r="A16" s="13" t="n">
        <v>12</v>
      </c>
      <c r="B16" s="4"/>
      <c r="C16" s="13" t="str">
        <f aca="false">IF(B16="","",IFERROR(INDEX(Ana_Malzeme!$B$5:$B$204,MATCH(B16,Ana_Malzeme!$A$5:$A$204,0)),"KATALOGDA YOK"))</f>
        <v/>
      </c>
      <c r="D16" s="18"/>
      <c r="E16" s="13" t="str">
        <f aca="false">IF(B16="","",IFERROR(INDEX(Ana_Malzeme!$D$5:$D$204,MATCH(B16,Ana_Malzeme!$A$5:$A$204,0)),""))</f>
        <v/>
      </c>
      <c r="F16" s="15" t="str">
        <f aca="false">IF(B16="","",IFERROR(INDEX(Fiyat!$F$5:$F$204,MATCH(B16,Fiyat!$A$5:$A$204,0))+0,"FİYAT YOK"))</f>
        <v/>
      </c>
      <c r="G16" s="15" t="n">
        <f aca="false">IF(OR(B16="",D16="",NOT(ISNUMBER(F16))),0,D16*F16)</f>
        <v>0</v>
      </c>
      <c r="H16" s="13" t="str">
        <f aca="false">IF(B16="","",IF(C16="KATALOGDA YOK","Katalogda yok",IF(NOT(ISNUMBER(F16)),"Fiyat girilmemiş","")))</f>
        <v/>
      </c>
    </row>
    <row r="17" customFormat="false" ht="15" hidden="false" customHeight="false" outlineLevel="0" collapsed="false">
      <c r="A17" s="13" t="n">
        <v>13</v>
      </c>
      <c r="B17" s="4"/>
      <c r="C17" s="13" t="str">
        <f aca="false">IF(B17="","",IFERROR(INDEX(Ana_Malzeme!$B$5:$B$204,MATCH(B17,Ana_Malzeme!$A$5:$A$204,0)),"KATALOGDA YOK"))</f>
        <v/>
      </c>
      <c r="D17" s="18"/>
      <c r="E17" s="13" t="str">
        <f aca="false">IF(B17="","",IFERROR(INDEX(Ana_Malzeme!$D$5:$D$204,MATCH(B17,Ana_Malzeme!$A$5:$A$204,0)),""))</f>
        <v/>
      </c>
      <c r="F17" s="15" t="str">
        <f aca="false">IF(B17="","",IFERROR(INDEX(Fiyat!$F$5:$F$204,MATCH(B17,Fiyat!$A$5:$A$204,0))+0,"FİYAT YOK"))</f>
        <v/>
      </c>
      <c r="G17" s="15" t="n">
        <f aca="false">IF(OR(B17="",D17="",NOT(ISNUMBER(F17))),0,D17*F17)</f>
        <v>0</v>
      </c>
      <c r="H17" s="13" t="str">
        <f aca="false">IF(B17="","",IF(C17="KATALOGDA YOK","Katalogda yok",IF(NOT(ISNUMBER(F17)),"Fiyat girilmemiş","")))</f>
        <v/>
      </c>
    </row>
    <row r="18" customFormat="false" ht="15" hidden="false" customHeight="false" outlineLevel="0" collapsed="false">
      <c r="A18" s="13" t="n">
        <v>14</v>
      </c>
      <c r="B18" s="4"/>
      <c r="C18" s="13" t="str">
        <f aca="false">IF(B18="","",IFERROR(INDEX(Ana_Malzeme!$B$5:$B$204,MATCH(B18,Ana_Malzeme!$A$5:$A$204,0)),"KATALOGDA YOK"))</f>
        <v/>
      </c>
      <c r="D18" s="18"/>
      <c r="E18" s="13" t="str">
        <f aca="false">IF(B18="","",IFERROR(INDEX(Ana_Malzeme!$D$5:$D$204,MATCH(B18,Ana_Malzeme!$A$5:$A$204,0)),""))</f>
        <v/>
      </c>
      <c r="F18" s="15" t="str">
        <f aca="false">IF(B18="","",IFERROR(INDEX(Fiyat!$F$5:$F$204,MATCH(B18,Fiyat!$A$5:$A$204,0))+0,"FİYAT YOK"))</f>
        <v/>
      </c>
      <c r="G18" s="15" t="n">
        <f aca="false">IF(OR(B18="",D18="",NOT(ISNUMBER(F18))),0,D18*F18)</f>
        <v>0</v>
      </c>
      <c r="H18" s="13" t="str">
        <f aca="false">IF(B18="","",IF(C18="KATALOGDA YOK","Katalogda yok",IF(NOT(ISNUMBER(F18)),"Fiyat girilmemiş","")))</f>
        <v/>
      </c>
    </row>
    <row r="19" customFormat="false" ht="15" hidden="false" customHeight="false" outlineLevel="0" collapsed="false">
      <c r="A19" s="13" t="n">
        <v>15</v>
      </c>
      <c r="B19" s="4"/>
      <c r="C19" s="13" t="str">
        <f aca="false">IF(B19="","",IFERROR(INDEX(Ana_Malzeme!$B$5:$B$204,MATCH(B19,Ana_Malzeme!$A$5:$A$204,0)),"KATALOGDA YOK"))</f>
        <v/>
      </c>
      <c r="D19" s="18"/>
      <c r="E19" s="13" t="str">
        <f aca="false">IF(B19="","",IFERROR(INDEX(Ana_Malzeme!$D$5:$D$204,MATCH(B19,Ana_Malzeme!$A$5:$A$204,0)),""))</f>
        <v/>
      </c>
      <c r="F19" s="15" t="str">
        <f aca="false">IF(B19="","",IFERROR(INDEX(Fiyat!$F$5:$F$204,MATCH(B19,Fiyat!$A$5:$A$204,0))+0,"FİYAT YOK"))</f>
        <v/>
      </c>
      <c r="G19" s="15" t="n">
        <f aca="false">IF(OR(B19="",D19="",NOT(ISNUMBER(F19))),0,D19*F19)</f>
        <v>0</v>
      </c>
      <c r="H19" s="13" t="str">
        <f aca="false">IF(B19="","",IF(C19="KATALOGDA YOK","Katalogda yok",IF(NOT(ISNUMBER(F19)),"Fiyat girilmemiş","")))</f>
        <v/>
      </c>
    </row>
    <row r="20" customFormat="false" ht="15" hidden="false" customHeight="false" outlineLevel="0" collapsed="false">
      <c r="A20" s="13" t="n">
        <v>16</v>
      </c>
      <c r="B20" s="4"/>
      <c r="C20" s="13" t="str">
        <f aca="false">IF(B20="","",IFERROR(INDEX(Ana_Malzeme!$B$5:$B$204,MATCH(B20,Ana_Malzeme!$A$5:$A$204,0)),"KATALOGDA YOK"))</f>
        <v/>
      </c>
      <c r="D20" s="18"/>
      <c r="E20" s="13" t="str">
        <f aca="false">IF(B20="","",IFERROR(INDEX(Ana_Malzeme!$D$5:$D$204,MATCH(B20,Ana_Malzeme!$A$5:$A$204,0)),""))</f>
        <v/>
      </c>
      <c r="F20" s="15" t="str">
        <f aca="false">IF(B20="","",IFERROR(INDEX(Fiyat!$F$5:$F$204,MATCH(B20,Fiyat!$A$5:$A$204,0))+0,"FİYAT YOK"))</f>
        <v/>
      </c>
      <c r="G20" s="15" t="n">
        <f aca="false">IF(OR(B20="",D20="",NOT(ISNUMBER(F20))),0,D20*F20)</f>
        <v>0</v>
      </c>
      <c r="H20" s="13" t="str">
        <f aca="false">IF(B20="","",IF(C20="KATALOGDA YOK","Katalogda yok",IF(NOT(ISNUMBER(F20)),"Fiyat girilmemiş","")))</f>
        <v/>
      </c>
    </row>
    <row r="21" customFormat="false" ht="15" hidden="false" customHeight="false" outlineLevel="0" collapsed="false">
      <c r="A21" s="13" t="n">
        <v>17</v>
      </c>
      <c r="B21" s="4"/>
      <c r="C21" s="13" t="str">
        <f aca="false">IF(B21="","",IFERROR(INDEX(Ana_Malzeme!$B$5:$B$204,MATCH(B21,Ana_Malzeme!$A$5:$A$204,0)),"KATALOGDA YOK"))</f>
        <v/>
      </c>
      <c r="D21" s="18"/>
      <c r="E21" s="13" t="str">
        <f aca="false">IF(B21="","",IFERROR(INDEX(Ana_Malzeme!$D$5:$D$204,MATCH(B21,Ana_Malzeme!$A$5:$A$204,0)),""))</f>
        <v/>
      </c>
      <c r="F21" s="15" t="str">
        <f aca="false">IF(B21="","",IFERROR(INDEX(Fiyat!$F$5:$F$204,MATCH(B21,Fiyat!$A$5:$A$204,0))+0,"FİYAT YOK"))</f>
        <v/>
      </c>
      <c r="G21" s="15" t="n">
        <f aca="false">IF(OR(B21="",D21="",NOT(ISNUMBER(F21))),0,D21*F21)</f>
        <v>0</v>
      </c>
      <c r="H21" s="13" t="str">
        <f aca="false">IF(B21="","",IF(C21="KATALOGDA YOK","Katalogda yok",IF(NOT(ISNUMBER(F21)),"Fiyat girilmemiş","")))</f>
        <v/>
      </c>
    </row>
    <row r="22" customFormat="false" ht="15" hidden="false" customHeight="false" outlineLevel="0" collapsed="false">
      <c r="A22" s="13" t="n">
        <v>18</v>
      </c>
      <c r="B22" s="4"/>
      <c r="C22" s="13" t="str">
        <f aca="false">IF(B22="","",IFERROR(INDEX(Ana_Malzeme!$B$5:$B$204,MATCH(B22,Ana_Malzeme!$A$5:$A$204,0)),"KATALOGDA YOK"))</f>
        <v/>
      </c>
      <c r="D22" s="18"/>
      <c r="E22" s="13" t="str">
        <f aca="false">IF(B22="","",IFERROR(INDEX(Ana_Malzeme!$D$5:$D$204,MATCH(B22,Ana_Malzeme!$A$5:$A$204,0)),""))</f>
        <v/>
      </c>
      <c r="F22" s="15" t="str">
        <f aca="false">IF(B22="","",IFERROR(INDEX(Fiyat!$F$5:$F$204,MATCH(B22,Fiyat!$A$5:$A$204,0))+0,"FİYAT YOK"))</f>
        <v/>
      </c>
      <c r="G22" s="15" t="n">
        <f aca="false">IF(OR(B22="",D22="",NOT(ISNUMBER(F22))),0,D22*F22)</f>
        <v>0</v>
      </c>
      <c r="H22" s="13" t="str">
        <f aca="false">IF(B22="","",IF(C22="KATALOGDA YOK","Katalogda yok",IF(NOT(ISNUMBER(F22)),"Fiyat girilmemiş","")))</f>
        <v/>
      </c>
    </row>
    <row r="23" customFormat="false" ht="15" hidden="false" customHeight="false" outlineLevel="0" collapsed="false">
      <c r="A23" s="13" t="n">
        <v>19</v>
      </c>
      <c r="B23" s="4"/>
      <c r="C23" s="13" t="str">
        <f aca="false">IF(B23="","",IFERROR(INDEX(Ana_Malzeme!$B$5:$B$204,MATCH(B23,Ana_Malzeme!$A$5:$A$204,0)),"KATALOGDA YOK"))</f>
        <v/>
      </c>
      <c r="D23" s="18"/>
      <c r="E23" s="13" t="str">
        <f aca="false">IF(B23="","",IFERROR(INDEX(Ana_Malzeme!$D$5:$D$204,MATCH(B23,Ana_Malzeme!$A$5:$A$204,0)),""))</f>
        <v/>
      </c>
      <c r="F23" s="15" t="str">
        <f aca="false">IF(B23="","",IFERROR(INDEX(Fiyat!$F$5:$F$204,MATCH(B23,Fiyat!$A$5:$A$204,0))+0,"FİYAT YOK"))</f>
        <v/>
      </c>
      <c r="G23" s="15" t="n">
        <f aca="false">IF(OR(B23="",D23="",NOT(ISNUMBER(F23))),0,D23*F23)</f>
        <v>0</v>
      </c>
      <c r="H23" s="13" t="str">
        <f aca="false">IF(B23="","",IF(C23="KATALOGDA YOK","Katalogda yok",IF(NOT(ISNUMBER(F23)),"Fiyat girilmemiş","")))</f>
        <v/>
      </c>
    </row>
    <row r="24" customFormat="false" ht="15" hidden="false" customHeight="false" outlineLevel="0" collapsed="false">
      <c r="A24" s="13" t="n">
        <v>20</v>
      </c>
      <c r="B24" s="4"/>
      <c r="C24" s="13" t="str">
        <f aca="false">IF(B24="","",IFERROR(INDEX(Ana_Malzeme!$B$5:$B$204,MATCH(B24,Ana_Malzeme!$A$5:$A$204,0)),"KATALOGDA YOK"))</f>
        <v/>
      </c>
      <c r="D24" s="18"/>
      <c r="E24" s="13" t="str">
        <f aca="false">IF(B24="","",IFERROR(INDEX(Ana_Malzeme!$D$5:$D$204,MATCH(B24,Ana_Malzeme!$A$5:$A$204,0)),""))</f>
        <v/>
      </c>
      <c r="F24" s="15" t="str">
        <f aca="false">IF(B24="","",IFERROR(INDEX(Fiyat!$F$5:$F$204,MATCH(B24,Fiyat!$A$5:$A$204,0))+0,"FİYAT YOK"))</f>
        <v/>
      </c>
      <c r="G24" s="15" t="n">
        <f aca="false">IF(OR(B24="",D24="",NOT(ISNUMBER(F24))),0,D24*F24)</f>
        <v>0</v>
      </c>
      <c r="H24" s="13" t="str">
        <f aca="false">IF(B24="","",IF(C24="KATALOGDA YOK","Katalogda yok",IF(NOT(ISNUMBER(F24)),"Fiyat girilmemiş","")))</f>
        <v/>
      </c>
    </row>
    <row r="25" customFormat="false" ht="15" hidden="false" customHeight="false" outlineLevel="0" collapsed="false">
      <c r="A25" s="13" t="n">
        <v>21</v>
      </c>
      <c r="B25" s="4"/>
      <c r="C25" s="13" t="str">
        <f aca="false">IF(B25="","",IFERROR(INDEX(Ana_Malzeme!$B$5:$B$204,MATCH(B25,Ana_Malzeme!$A$5:$A$204,0)),"KATALOGDA YOK"))</f>
        <v/>
      </c>
      <c r="D25" s="18"/>
      <c r="E25" s="13" t="str">
        <f aca="false">IF(B25="","",IFERROR(INDEX(Ana_Malzeme!$D$5:$D$204,MATCH(B25,Ana_Malzeme!$A$5:$A$204,0)),""))</f>
        <v/>
      </c>
      <c r="F25" s="15" t="str">
        <f aca="false">IF(B25="","",IFERROR(INDEX(Fiyat!$F$5:$F$204,MATCH(B25,Fiyat!$A$5:$A$204,0))+0,"FİYAT YOK"))</f>
        <v/>
      </c>
      <c r="G25" s="15" t="n">
        <f aca="false">IF(OR(B25="",D25="",NOT(ISNUMBER(F25))),0,D25*F25)</f>
        <v>0</v>
      </c>
      <c r="H25" s="13" t="str">
        <f aca="false">IF(B25="","",IF(C25="KATALOGDA YOK","Katalogda yok",IF(NOT(ISNUMBER(F25)),"Fiyat girilmemiş","")))</f>
        <v/>
      </c>
    </row>
    <row r="26" customFormat="false" ht="15" hidden="false" customHeight="false" outlineLevel="0" collapsed="false">
      <c r="A26" s="13" t="n">
        <v>22</v>
      </c>
      <c r="B26" s="4"/>
      <c r="C26" s="13" t="str">
        <f aca="false">IF(B26="","",IFERROR(INDEX(Ana_Malzeme!$B$5:$B$204,MATCH(B26,Ana_Malzeme!$A$5:$A$204,0)),"KATALOGDA YOK"))</f>
        <v/>
      </c>
      <c r="D26" s="18"/>
      <c r="E26" s="13" t="str">
        <f aca="false">IF(B26="","",IFERROR(INDEX(Ana_Malzeme!$D$5:$D$204,MATCH(B26,Ana_Malzeme!$A$5:$A$204,0)),""))</f>
        <v/>
      </c>
      <c r="F26" s="15" t="str">
        <f aca="false">IF(B26="","",IFERROR(INDEX(Fiyat!$F$5:$F$204,MATCH(B26,Fiyat!$A$5:$A$204,0))+0,"FİYAT YOK"))</f>
        <v/>
      </c>
      <c r="G26" s="15" t="n">
        <f aca="false">IF(OR(B26="",D26="",NOT(ISNUMBER(F26))),0,D26*F26)</f>
        <v>0</v>
      </c>
      <c r="H26" s="13" t="str">
        <f aca="false">IF(B26="","",IF(C26="KATALOGDA YOK","Katalogda yok",IF(NOT(ISNUMBER(F26)),"Fiyat girilmemiş","")))</f>
        <v/>
      </c>
    </row>
    <row r="27" customFormat="false" ht="15" hidden="false" customHeight="false" outlineLevel="0" collapsed="false">
      <c r="A27" s="13" t="n">
        <v>23</v>
      </c>
      <c r="B27" s="4"/>
      <c r="C27" s="13" t="str">
        <f aca="false">IF(B27="","",IFERROR(INDEX(Ana_Malzeme!$B$5:$B$204,MATCH(B27,Ana_Malzeme!$A$5:$A$204,0)),"KATALOGDA YOK"))</f>
        <v/>
      </c>
      <c r="D27" s="18"/>
      <c r="E27" s="13" t="str">
        <f aca="false">IF(B27="","",IFERROR(INDEX(Ana_Malzeme!$D$5:$D$204,MATCH(B27,Ana_Malzeme!$A$5:$A$204,0)),""))</f>
        <v/>
      </c>
      <c r="F27" s="15" t="str">
        <f aca="false">IF(B27="","",IFERROR(INDEX(Fiyat!$F$5:$F$204,MATCH(B27,Fiyat!$A$5:$A$204,0))+0,"FİYAT YOK"))</f>
        <v/>
      </c>
      <c r="G27" s="15" t="n">
        <f aca="false">IF(OR(B27="",D27="",NOT(ISNUMBER(F27))),0,D27*F27)</f>
        <v>0</v>
      </c>
      <c r="H27" s="13" t="str">
        <f aca="false">IF(B27="","",IF(C27="KATALOGDA YOK","Katalogda yok",IF(NOT(ISNUMBER(F27)),"Fiyat girilmemiş","")))</f>
        <v/>
      </c>
    </row>
    <row r="28" customFormat="false" ht="15" hidden="false" customHeight="false" outlineLevel="0" collapsed="false">
      <c r="A28" s="13" t="n">
        <v>24</v>
      </c>
      <c r="B28" s="4"/>
      <c r="C28" s="13" t="str">
        <f aca="false">IF(B28="","",IFERROR(INDEX(Ana_Malzeme!$B$5:$B$204,MATCH(B28,Ana_Malzeme!$A$5:$A$204,0)),"KATALOGDA YOK"))</f>
        <v/>
      </c>
      <c r="D28" s="18"/>
      <c r="E28" s="13" t="str">
        <f aca="false">IF(B28="","",IFERROR(INDEX(Ana_Malzeme!$D$5:$D$204,MATCH(B28,Ana_Malzeme!$A$5:$A$204,0)),""))</f>
        <v/>
      </c>
      <c r="F28" s="15" t="str">
        <f aca="false">IF(B28="","",IFERROR(INDEX(Fiyat!$F$5:$F$204,MATCH(B28,Fiyat!$A$5:$A$204,0))+0,"FİYAT YOK"))</f>
        <v/>
      </c>
      <c r="G28" s="15" t="n">
        <f aca="false">IF(OR(B28="",D28="",NOT(ISNUMBER(F28))),0,D28*F28)</f>
        <v>0</v>
      </c>
      <c r="H28" s="13" t="str">
        <f aca="false">IF(B28="","",IF(C28="KATALOGDA YOK","Katalogda yok",IF(NOT(ISNUMBER(F28)),"Fiyat girilmemiş","")))</f>
        <v/>
      </c>
    </row>
    <row r="29" customFormat="false" ht="15" hidden="false" customHeight="false" outlineLevel="0" collapsed="false">
      <c r="A29" s="13" t="n">
        <v>25</v>
      </c>
      <c r="B29" s="4"/>
      <c r="C29" s="13" t="str">
        <f aca="false">IF(B29="","",IFERROR(INDEX(Ana_Malzeme!$B$5:$B$204,MATCH(B29,Ana_Malzeme!$A$5:$A$204,0)),"KATALOGDA YOK"))</f>
        <v/>
      </c>
      <c r="D29" s="18"/>
      <c r="E29" s="13" t="str">
        <f aca="false">IF(B29="","",IFERROR(INDEX(Ana_Malzeme!$D$5:$D$204,MATCH(B29,Ana_Malzeme!$A$5:$A$204,0)),""))</f>
        <v/>
      </c>
      <c r="F29" s="15" t="str">
        <f aca="false">IF(B29="","",IFERROR(INDEX(Fiyat!$F$5:$F$204,MATCH(B29,Fiyat!$A$5:$A$204,0))+0,"FİYAT YOK"))</f>
        <v/>
      </c>
      <c r="G29" s="15" t="n">
        <f aca="false">IF(OR(B29="",D29="",NOT(ISNUMBER(F29))),0,D29*F29)</f>
        <v>0</v>
      </c>
      <c r="H29" s="13" t="str">
        <f aca="false">IF(B29="","",IF(C29="KATALOGDA YOK","Katalogda yok",IF(NOT(ISNUMBER(F29)),"Fiyat girilmemiş","")))</f>
        <v/>
      </c>
    </row>
    <row r="31" customFormat="false" ht="15" hidden="false" customHeight="false" outlineLevel="0" collapsed="false">
      <c r="F31" s="19" t="s">
        <v>99</v>
      </c>
      <c r="G31" s="20" t="n">
        <f aca="false">SUM(G5:G29)</f>
        <v>16952.34</v>
      </c>
    </row>
  </sheetData>
  <sheetProtection sheet="true" autoFilter="false"/>
  <conditionalFormatting sqref="H5:H29">
    <cfRule type="expression" priority="2" aboveAverage="0" equalAverage="0" bottom="0" percent="0" rank="0" text="" dxfId="9">
      <formula>H5&lt;&gt;""</formula>
    </cfRule>
  </conditionalFormatting>
  <dataValidations count="2">
    <dataValidation allowBlank="true" error="Bu kod ana katalogda yok. Önce Ana_Malzeme'ye ekleyin." errorStyle="stop" errorTitle="Geçersiz kod" operator="between" showDropDown="false" showErrorMessage="true" showInputMessage="false" sqref="B5:B29" type="list">
      <formula1>Ana_Malzeme!$A$5:$A$204</formula1>
      <formula2>0</formula2>
    </dataValidation>
    <dataValidation allowBlank="true" error="Miktar sıfırdan büyük olmalı." errorStyle="stop" operator="greaterThan" showDropDown="false" showErrorMessage="true" showInputMessage="false" sqref="D5:D2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5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94</v>
      </c>
    </row>
    <row r="4" customFormat="false" ht="30" hidden="false" customHeight="true" outlineLevel="0" collapsed="false">
      <c r="A4" s="9" t="s">
        <v>95</v>
      </c>
      <c r="B4" s="9" t="s">
        <v>21</v>
      </c>
      <c r="C4" s="9" t="s">
        <v>79</v>
      </c>
      <c r="D4" s="9" t="s">
        <v>96</v>
      </c>
      <c r="E4" s="9" t="s">
        <v>24</v>
      </c>
      <c r="F4" s="9" t="s">
        <v>83</v>
      </c>
      <c r="G4" s="9" t="s">
        <v>97</v>
      </c>
      <c r="H4" s="9" t="s">
        <v>98</v>
      </c>
    </row>
    <row r="5" customFormat="false" ht="15" hidden="false" customHeight="false" outlineLevel="0" collapsed="false">
      <c r="A5" s="13" t="n">
        <v>1</v>
      </c>
      <c r="B5" s="4" t="s">
        <v>65</v>
      </c>
      <c r="C5" s="13" t="str">
        <f aca="false">IF(B5="","",IFERROR(INDEX(Ana_Malzeme!$B$5:$B$204,MATCH(B5,Ana_Malzeme!$A$5:$A$204,0)),"KATALOGDA YOK"))</f>
        <v>Civata M8x25 Paslanmaz</v>
      </c>
      <c r="D5" s="18" t="n">
        <v>120</v>
      </c>
      <c r="E5" s="13" t="str">
        <f aca="false">IF(B5="","",IFERROR(INDEX(Ana_Malzeme!$D$5:$D$204,MATCH(B5,Ana_Malzeme!$A$5:$A$204,0)),""))</f>
        <v>adet</v>
      </c>
      <c r="F5" s="15" t="n">
        <f aca="false">IF(B5="","",IFERROR(INDEX(Fiyat!$F$5:$F$204,MATCH(B5,Fiyat!$A$5:$A$204,0))+0,"FİYAT YOK"))</f>
        <v>4.2</v>
      </c>
      <c r="G5" s="15" t="n">
        <f aca="false">IF(OR(B5="",D5="",NOT(ISNUMBER(F5))),0,D5*F5)</f>
        <v>504</v>
      </c>
      <c r="H5" s="13" t="str">
        <f aca="false">IF(B5="","",IF(C5="KATALOGDA YOK","Katalogda yok",IF(NOT(ISNUMBER(F5)),"Fiyat girilmemiş","")))</f>
        <v/>
      </c>
    </row>
    <row r="6" customFormat="false" ht="15" hidden="false" customHeight="false" outlineLevel="0" collapsed="false">
      <c r="A6" s="13" t="n">
        <v>2</v>
      </c>
      <c r="B6" s="4" t="s">
        <v>70</v>
      </c>
      <c r="C6" s="13" t="str">
        <f aca="false">IF(B6="","",IFERROR(INDEX(Ana_Malzeme!$B$5:$B$204,MATCH(B6,Ana_Malzeme!$A$5:$A$204,0)),"KATALOGDA YOK"))</f>
        <v>Rondela M8 Paslanmaz</v>
      </c>
      <c r="D6" s="18" t="n">
        <v>240</v>
      </c>
      <c r="E6" s="13" t="str">
        <f aca="false">IF(B6="","",IFERROR(INDEX(Ana_Malzeme!$D$5:$D$204,MATCH(B6,Ana_Malzeme!$A$5:$A$204,0)),""))</f>
        <v>adet</v>
      </c>
      <c r="F6" s="15" t="n">
        <f aca="false">IF(B6="","",IFERROR(INDEX(Fiyat!$F$5:$F$204,MATCH(B6,Fiyat!$A$5:$A$204,0))+0,"FİYAT YOK"))</f>
        <v>0.9</v>
      </c>
      <c r="G6" s="15" t="n">
        <f aca="false">IF(OR(B6="",D6="",NOT(ISNUMBER(F6))),0,D6*F6)</f>
        <v>216</v>
      </c>
      <c r="H6" s="13" t="str">
        <f aca="false">IF(B6="","",IF(C6="KATALOGDA YOK","Katalogda yok",IF(NOT(ISNUMBER(F6)),"Fiyat girilmemiş","")))</f>
        <v/>
      </c>
    </row>
    <row r="7" customFormat="false" ht="15" hidden="false" customHeight="false" outlineLevel="0" collapsed="false">
      <c r="A7" s="13" t="n">
        <v>3</v>
      </c>
      <c r="B7" s="4" t="s">
        <v>72</v>
      </c>
      <c r="C7" s="13" t="str">
        <f aca="false">IF(B7="","",IFERROR(INDEX(Ana_Malzeme!$B$5:$B$204,MATCH(B7,Ana_Malzeme!$A$5:$A$204,0)),"KATALOGDA YOK"))</f>
        <v>Somun M8 Paslanmaz</v>
      </c>
      <c r="D7" s="18" t="n">
        <v>120</v>
      </c>
      <c r="E7" s="13" t="str">
        <f aca="false">IF(B7="","",IFERROR(INDEX(Ana_Malzeme!$D$5:$D$204,MATCH(B7,Ana_Malzeme!$A$5:$A$204,0)),""))</f>
        <v>adet</v>
      </c>
      <c r="F7" s="15" t="n">
        <f aca="false">IF(B7="","",IFERROR(INDEX(Fiyat!$F$5:$F$204,MATCH(B7,Fiyat!$A$5:$A$204,0))+0,"FİYAT YOK"))</f>
        <v>1.6</v>
      </c>
      <c r="G7" s="15" t="n">
        <f aca="false">IF(OR(B7="",D7="",NOT(ISNUMBER(F7))),0,D7*F7)</f>
        <v>192</v>
      </c>
      <c r="H7" s="13" t="str">
        <f aca="false">IF(B7="","",IF(C7="KATALOGDA YOK","Katalogda yok",IF(NOT(ISNUMBER(F7)),"Fiyat girilmemiş","")))</f>
        <v/>
      </c>
    </row>
    <row r="8" customFormat="false" ht="15" hidden="false" customHeight="false" outlineLevel="0" collapsed="false">
      <c r="A8" s="13" t="n">
        <v>4</v>
      </c>
      <c r="B8" s="4" t="s">
        <v>74</v>
      </c>
      <c r="C8" s="13" t="str">
        <f aca="false">IF(B8="","",IFERROR(INDEX(Ana_Malzeme!$B$5:$B$204,MATCH(B8,Ana_Malzeme!$A$5:$A$204,0)),"KATALOGDA YOK"))</f>
        <v>Rulman 6204 2RS</v>
      </c>
      <c r="D8" s="18" t="n">
        <v>8</v>
      </c>
      <c r="E8" s="13" t="str">
        <f aca="false">IF(B8="","",IFERROR(INDEX(Ana_Malzeme!$D$5:$D$204,MATCH(B8,Ana_Malzeme!$A$5:$A$204,0)),""))</f>
        <v>adet</v>
      </c>
      <c r="F8" s="15" t="str">
        <f aca="false">IF(B8="","",IFERROR(INDEX(Fiyat!$F$5:$F$204,MATCH(B8,Fiyat!$A$5:$A$204,0))+0,"FİYAT YOK"))</f>
        <v>FİYAT YOK</v>
      </c>
      <c r="G8" s="15" t="n">
        <f aca="false">IF(OR(B8="",D8="",NOT(ISNUMBER(F8))),0,D8*F8)</f>
        <v>0</v>
      </c>
      <c r="H8" s="13" t="str">
        <f aca="false">IF(B8="","",IF(C8="KATALOGDA YOK","Katalogda yok",IF(NOT(ISNUMBER(F8)),"Fiyat girilmemiş","")))</f>
        <v>Fiyat girilmemiş</v>
      </c>
    </row>
    <row r="9" customFormat="false" ht="15" hidden="false" customHeight="false" outlineLevel="0" collapsed="false">
      <c r="A9" s="13" t="n">
        <v>5</v>
      </c>
      <c r="B9" s="4"/>
      <c r="C9" s="13" t="str">
        <f aca="false">IF(B9="","",IFERROR(INDEX(Ana_Malzeme!$B$5:$B$204,MATCH(B9,Ana_Malzeme!$A$5:$A$204,0)),"KATALOGDA YOK"))</f>
        <v/>
      </c>
      <c r="D9" s="18"/>
      <c r="E9" s="13" t="str">
        <f aca="false">IF(B9="","",IFERROR(INDEX(Ana_Malzeme!$D$5:$D$204,MATCH(B9,Ana_Malzeme!$A$5:$A$204,0)),""))</f>
        <v/>
      </c>
      <c r="F9" s="15" t="str">
        <f aca="false">IF(B9="","",IFERROR(INDEX(Fiyat!$F$5:$F$204,MATCH(B9,Fiyat!$A$5:$A$204,0))+0,"FİYAT YOK"))</f>
        <v/>
      </c>
      <c r="G9" s="15" t="n">
        <f aca="false">IF(OR(B9="",D9="",NOT(ISNUMBER(F9))),0,D9*F9)</f>
        <v>0</v>
      </c>
      <c r="H9" s="13" t="str">
        <f aca="false">IF(B9="","",IF(C9="KATALOGDA YOK","Katalogda yok",IF(NOT(ISNUMBER(F9)),"Fiyat girilmemiş","")))</f>
        <v/>
      </c>
    </row>
    <row r="10" customFormat="false" ht="15" hidden="false" customHeight="false" outlineLevel="0" collapsed="false">
      <c r="A10" s="13" t="n">
        <v>6</v>
      </c>
      <c r="B10" s="4"/>
      <c r="C10" s="13" t="str">
        <f aca="false">IF(B10="","",IFERROR(INDEX(Ana_Malzeme!$B$5:$B$204,MATCH(B10,Ana_Malzeme!$A$5:$A$204,0)),"KATALOGDA YOK"))</f>
        <v/>
      </c>
      <c r="D10" s="18"/>
      <c r="E10" s="13" t="str">
        <f aca="false">IF(B10="","",IFERROR(INDEX(Ana_Malzeme!$D$5:$D$204,MATCH(B10,Ana_Malzeme!$A$5:$A$204,0)),""))</f>
        <v/>
      </c>
      <c r="F10" s="15" t="str">
        <f aca="false">IF(B10="","",IFERROR(INDEX(Fiyat!$F$5:$F$204,MATCH(B10,Fiyat!$A$5:$A$204,0))+0,"FİYAT YOK"))</f>
        <v/>
      </c>
      <c r="G10" s="15" t="n">
        <f aca="false">IF(OR(B10="",D10="",NOT(ISNUMBER(F10))),0,D10*F10)</f>
        <v>0</v>
      </c>
      <c r="H10" s="13" t="str">
        <f aca="false">IF(B10="","",IF(C10="KATALOGDA YOK","Katalogda yok",IF(NOT(ISNUMBER(F10)),"Fiyat girilmemiş","")))</f>
        <v/>
      </c>
    </row>
    <row r="11" customFormat="false" ht="15" hidden="false" customHeight="false" outlineLevel="0" collapsed="false">
      <c r="A11" s="13" t="n">
        <v>7</v>
      </c>
      <c r="B11" s="4"/>
      <c r="C11" s="13" t="str">
        <f aca="false">IF(B11="","",IFERROR(INDEX(Ana_Malzeme!$B$5:$B$204,MATCH(B11,Ana_Malzeme!$A$5:$A$204,0)),"KATALOGDA YOK"))</f>
        <v/>
      </c>
      <c r="D11" s="18"/>
      <c r="E11" s="13" t="str">
        <f aca="false">IF(B11="","",IFERROR(INDEX(Ana_Malzeme!$D$5:$D$204,MATCH(B11,Ana_Malzeme!$A$5:$A$204,0)),""))</f>
        <v/>
      </c>
      <c r="F11" s="15" t="str">
        <f aca="false">IF(B11="","",IFERROR(INDEX(Fiyat!$F$5:$F$204,MATCH(B11,Fiyat!$A$5:$A$204,0))+0,"FİYAT YOK"))</f>
        <v/>
      </c>
      <c r="G11" s="15" t="n">
        <f aca="false">IF(OR(B11="",D11="",NOT(ISNUMBER(F11))),0,D11*F11)</f>
        <v>0</v>
      </c>
      <c r="H11" s="13" t="str">
        <f aca="false">IF(B11="","",IF(C11="KATALOGDA YOK","Katalogda yok",IF(NOT(ISNUMBER(F11)),"Fiyat girilmemiş","")))</f>
        <v/>
      </c>
    </row>
    <row r="12" customFormat="false" ht="15" hidden="false" customHeight="false" outlineLevel="0" collapsed="false">
      <c r="A12" s="13" t="n">
        <v>8</v>
      </c>
      <c r="B12" s="4"/>
      <c r="C12" s="13" t="str">
        <f aca="false">IF(B12="","",IFERROR(INDEX(Ana_Malzeme!$B$5:$B$204,MATCH(B12,Ana_Malzeme!$A$5:$A$204,0)),"KATALOGDA YOK"))</f>
        <v/>
      </c>
      <c r="D12" s="18"/>
      <c r="E12" s="13" t="str">
        <f aca="false">IF(B12="","",IFERROR(INDEX(Ana_Malzeme!$D$5:$D$204,MATCH(B12,Ana_Malzeme!$A$5:$A$204,0)),""))</f>
        <v/>
      </c>
      <c r="F12" s="15" t="str">
        <f aca="false">IF(B12="","",IFERROR(INDEX(Fiyat!$F$5:$F$204,MATCH(B12,Fiyat!$A$5:$A$204,0))+0,"FİYAT YOK"))</f>
        <v/>
      </c>
      <c r="G12" s="15" t="n">
        <f aca="false">IF(OR(B12="",D12="",NOT(ISNUMBER(F12))),0,D12*F12)</f>
        <v>0</v>
      </c>
      <c r="H12" s="13" t="str">
        <f aca="false">IF(B12="","",IF(C12="KATALOGDA YOK","Katalogda yok",IF(NOT(ISNUMBER(F12)),"Fiyat girilmemiş","")))</f>
        <v/>
      </c>
    </row>
    <row r="13" customFormat="false" ht="15" hidden="false" customHeight="false" outlineLevel="0" collapsed="false">
      <c r="A13" s="13" t="n">
        <v>9</v>
      </c>
      <c r="B13" s="4"/>
      <c r="C13" s="13" t="str">
        <f aca="false">IF(B13="","",IFERROR(INDEX(Ana_Malzeme!$B$5:$B$204,MATCH(B13,Ana_Malzeme!$A$5:$A$204,0)),"KATALOGDA YOK"))</f>
        <v/>
      </c>
      <c r="D13" s="18"/>
      <c r="E13" s="13" t="str">
        <f aca="false">IF(B13="","",IFERROR(INDEX(Ana_Malzeme!$D$5:$D$204,MATCH(B13,Ana_Malzeme!$A$5:$A$204,0)),""))</f>
        <v/>
      </c>
      <c r="F13" s="15" t="str">
        <f aca="false">IF(B13="","",IFERROR(INDEX(Fiyat!$F$5:$F$204,MATCH(B13,Fiyat!$A$5:$A$204,0))+0,"FİYAT YOK"))</f>
        <v/>
      </c>
      <c r="G13" s="15" t="n">
        <f aca="false">IF(OR(B13="",D13="",NOT(ISNUMBER(F13))),0,D13*F13)</f>
        <v>0</v>
      </c>
      <c r="H13" s="13" t="str">
        <f aca="false">IF(B13="","",IF(C13="KATALOGDA YOK","Katalogda yok",IF(NOT(ISNUMBER(F13)),"Fiyat girilmemiş","")))</f>
        <v/>
      </c>
    </row>
    <row r="14" customFormat="false" ht="15" hidden="false" customHeight="false" outlineLevel="0" collapsed="false">
      <c r="A14" s="13" t="n">
        <v>10</v>
      </c>
      <c r="B14" s="4"/>
      <c r="C14" s="13" t="str">
        <f aca="false">IF(B14="","",IFERROR(INDEX(Ana_Malzeme!$B$5:$B$204,MATCH(B14,Ana_Malzeme!$A$5:$A$204,0)),"KATALOGDA YOK"))</f>
        <v/>
      </c>
      <c r="D14" s="18"/>
      <c r="E14" s="13" t="str">
        <f aca="false">IF(B14="","",IFERROR(INDEX(Ana_Malzeme!$D$5:$D$204,MATCH(B14,Ana_Malzeme!$A$5:$A$204,0)),""))</f>
        <v/>
      </c>
      <c r="F14" s="15" t="str">
        <f aca="false">IF(B14="","",IFERROR(INDEX(Fiyat!$F$5:$F$204,MATCH(B14,Fiyat!$A$5:$A$204,0))+0,"FİYAT YOK"))</f>
        <v/>
      </c>
      <c r="G14" s="15" t="n">
        <f aca="false">IF(OR(B14="",D14="",NOT(ISNUMBER(F14))),0,D14*F14)</f>
        <v>0</v>
      </c>
      <c r="H14" s="13" t="str">
        <f aca="false">IF(B14="","",IF(C14="KATALOGDA YOK","Katalogda yok",IF(NOT(ISNUMBER(F14)),"Fiyat girilmemiş","")))</f>
        <v/>
      </c>
    </row>
    <row r="15" customFormat="false" ht="15" hidden="false" customHeight="false" outlineLevel="0" collapsed="false">
      <c r="A15" s="13" t="n">
        <v>11</v>
      </c>
      <c r="B15" s="4"/>
      <c r="C15" s="13" t="str">
        <f aca="false">IF(B15="","",IFERROR(INDEX(Ana_Malzeme!$B$5:$B$204,MATCH(B15,Ana_Malzeme!$A$5:$A$204,0)),"KATALOGDA YOK"))</f>
        <v/>
      </c>
      <c r="D15" s="18"/>
      <c r="E15" s="13" t="str">
        <f aca="false">IF(B15="","",IFERROR(INDEX(Ana_Malzeme!$D$5:$D$204,MATCH(B15,Ana_Malzeme!$A$5:$A$204,0)),""))</f>
        <v/>
      </c>
      <c r="F15" s="15" t="str">
        <f aca="false">IF(B15="","",IFERROR(INDEX(Fiyat!$F$5:$F$204,MATCH(B15,Fiyat!$A$5:$A$204,0))+0,"FİYAT YOK"))</f>
        <v/>
      </c>
      <c r="G15" s="15" t="n">
        <f aca="false">IF(OR(B15="",D15="",NOT(ISNUMBER(F15))),0,D15*F15)</f>
        <v>0</v>
      </c>
      <c r="H15" s="13" t="str">
        <f aca="false">IF(B15="","",IF(C15="KATALOGDA YOK","Katalogda yok",IF(NOT(ISNUMBER(F15)),"Fiyat girilmemiş","")))</f>
        <v/>
      </c>
    </row>
    <row r="16" customFormat="false" ht="15" hidden="false" customHeight="false" outlineLevel="0" collapsed="false">
      <c r="A16" s="13" t="n">
        <v>12</v>
      </c>
      <c r="B16" s="4"/>
      <c r="C16" s="13" t="str">
        <f aca="false">IF(B16="","",IFERROR(INDEX(Ana_Malzeme!$B$5:$B$204,MATCH(B16,Ana_Malzeme!$A$5:$A$204,0)),"KATALOGDA YOK"))</f>
        <v/>
      </c>
      <c r="D16" s="18"/>
      <c r="E16" s="13" t="str">
        <f aca="false">IF(B16="","",IFERROR(INDEX(Ana_Malzeme!$D$5:$D$204,MATCH(B16,Ana_Malzeme!$A$5:$A$204,0)),""))</f>
        <v/>
      </c>
      <c r="F16" s="15" t="str">
        <f aca="false">IF(B16="","",IFERROR(INDEX(Fiyat!$F$5:$F$204,MATCH(B16,Fiyat!$A$5:$A$204,0))+0,"FİYAT YOK"))</f>
        <v/>
      </c>
      <c r="G16" s="15" t="n">
        <f aca="false">IF(OR(B16="",D16="",NOT(ISNUMBER(F16))),0,D16*F16)</f>
        <v>0</v>
      </c>
      <c r="H16" s="13" t="str">
        <f aca="false">IF(B16="","",IF(C16="KATALOGDA YOK","Katalogda yok",IF(NOT(ISNUMBER(F16)),"Fiyat girilmemiş","")))</f>
        <v/>
      </c>
    </row>
    <row r="17" customFormat="false" ht="15" hidden="false" customHeight="false" outlineLevel="0" collapsed="false">
      <c r="A17" s="13" t="n">
        <v>13</v>
      </c>
      <c r="B17" s="4"/>
      <c r="C17" s="13" t="str">
        <f aca="false">IF(B17="","",IFERROR(INDEX(Ana_Malzeme!$B$5:$B$204,MATCH(B17,Ana_Malzeme!$A$5:$A$204,0)),"KATALOGDA YOK"))</f>
        <v/>
      </c>
      <c r="D17" s="18"/>
      <c r="E17" s="13" t="str">
        <f aca="false">IF(B17="","",IFERROR(INDEX(Ana_Malzeme!$D$5:$D$204,MATCH(B17,Ana_Malzeme!$A$5:$A$204,0)),""))</f>
        <v/>
      </c>
      <c r="F17" s="15" t="str">
        <f aca="false">IF(B17="","",IFERROR(INDEX(Fiyat!$F$5:$F$204,MATCH(B17,Fiyat!$A$5:$A$204,0))+0,"FİYAT YOK"))</f>
        <v/>
      </c>
      <c r="G17" s="15" t="n">
        <f aca="false">IF(OR(B17="",D17="",NOT(ISNUMBER(F17))),0,D17*F17)</f>
        <v>0</v>
      </c>
      <c r="H17" s="13" t="str">
        <f aca="false">IF(B17="","",IF(C17="KATALOGDA YOK","Katalogda yok",IF(NOT(ISNUMBER(F17)),"Fiyat girilmemiş","")))</f>
        <v/>
      </c>
    </row>
    <row r="18" customFormat="false" ht="15" hidden="false" customHeight="false" outlineLevel="0" collapsed="false">
      <c r="A18" s="13" t="n">
        <v>14</v>
      </c>
      <c r="B18" s="4"/>
      <c r="C18" s="13" t="str">
        <f aca="false">IF(B18="","",IFERROR(INDEX(Ana_Malzeme!$B$5:$B$204,MATCH(B18,Ana_Malzeme!$A$5:$A$204,0)),"KATALOGDA YOK"))</f>
        <v/>
      </c>
      <c r="D18" s="18"/>
      <c r="E18" s="13" t="str">
        <f aca="false">IF(B18="","",IFERROR(INDEX(Ana_Malzeme!$D$5:$D$204,MATCH(B18,Ana_Malzeme!$A$5:$A$204,0)),""))</f>
        <v/>
      </c>
      <c r="F18" s="15" t="str">
        <f aca="false">IF(B18="","",IFERROR(INDEX(Fiyat!$F$5:$F$204,MATCH(B18,Fiyat!$A$5:$A$204,0))+0,"FİYAT YOK"))</f>
        <v/>
      </c>
      <c r="G18" s="15" t="n">
        <f aca="false">IF(OR(B18="",D18="",NOT(ISNUMBER(F18))),0,D18*F18)</f>
        <v>0</v>
      </c>
      <c r="H18" s="13" t="str">
        <f aca="false">IF(B18="","",IF(C18="KATALOGDA YOK","Katalogda yok",IF(NOT(ISNUMBER(F18)),"Fiyat girilmemiş","")))</f>
        <v/>
      </c>
    </row>
    <row r="19" customFormat="false" ht="15" hidden="false" customHeight="false" outlineLevel="0" collapsed="false">
      <c r="A19" s="13" t="n">
        <v>15</v>
      </c>
      <c r="B19" s="4"/>
      <c r="C19" s="13" t="str">
        <f aca="false">IF(B19="","",IFERROR(INDEX(Ana_Malzeme!$B$5:$B$204,MATCH(B19,Ana_Malzeme!$A$5:$A$204,0)),"KATALOGDA YOK"))</f>
        <v/>
      </c>
      <c r="D19" s="18"/>
      <c r="E19" s="13" t="str">
        <f aca="false">IF(B19="","",IFERROR(INDEX(Ana_Malzeme!$D$5:$D$204,MATCH(B19,Ana_Malzeme!$A$5:$A$204,0)),""))</f>
        <v/>
      </c>
      <c r="F19" s="15" t="str">
        <f aca="false">IF(B19="","",IFERROR(INDEX(Fiyat!$F$5:$F$204,MATCH(B19,Fiyat!$A$5:$A$204,0))+0,"FİYAT YOK"))</f>
        <v/>
      </c>
      <c r="G19" s="15" t="n">
        <f aca="false">IF(OR(B19="",D19="",NOT(ISNUMBER(F19))),0,D19*F19)</f>
        <v>0</v>
      </c>
      <c r="H19" s="13" t="str">
        <f aca="false">IF(B19="","",IF(C19="KATALOGDA YOK","Katalogda yok",IF(NOT(ISNUMBER(F19)),"Fiyat girilmemiş","")))</f>
        <v/>
      </c>
    </row>
    <row r="20" customFormat="false" ht="15" hidden="false" customHeight="false" outlineLevel="0" collapsed="false">
      <c r="A20" s="13" t="n">
        <v>16</v>
      </c>
      <c r="B20" s="4"/>
      <c r="C20" s="13" t="str">
        <f aca="false">IF(B20="","",IFERROR(INDEX(Ana_Malzeme!$B$5:$B$204,MATCH(B20,Ana_Malzeme!$A$5:$A$204,0)),"KATALOGDA YOK"))</f>
        <v/>
      </c>
      <c r="D20" s="18"/>
      <c r="E20" s="13" t="str">
        <f aca="false">IF(B20="","",IFERROR(INDEX(Ana_Malzeme!$D$5:$D$204,MATCH(B20,Ana_Malzeme!$A$5:$A$204,0)),""))</f>
        <v/>
      </c>
      <c r="F20" s="15" t="str">
        <f aca="false">IF(B20="","",IFERROR(INDEX(Fiyat!$F$5:$F$204,MATCH(B20,Fiyat!$A$5:$A$204,0))+0,"FİYAT YOK"))</f>
        <v/>
      </c>
      <c r="G20" s="15" t="n">
        <f aca="false">IF(OR(B20="",D20="",NOT(ISNUMBER(F20))),0,D20*F20)</f>
        <v>0</v>
      </c>
      <c r="H20" s="13" t="str">
        <f aca="false">IF(B20="","",IF(C20="KATALOGDA YOK","Katalogda yok",IF(NOT(ISNUMBER(F20)),"Fiyat girilmemiş","")))</f>
        <v/>
      </c>
    </row>
    <row r="21" customFormat="false" ht="15" hidden="false" customHeight="false" outlineLevel="0" collapsed="false">
      <c r="A21" s="13" t="n">
        <v>17</v>
      </c>
      <c r="B21" s="4"/>
      <c r="C21" s="13" t="str">
        <f aca="false">IF(B21="","",IFERROR(INDEX(Ana_Malzeme!$B$5:$B$204,MATCH(B21,Ana_Malzeme!$A$5:$A$204,0)),"KATALOGDA YOK"))</f>
        <v/>
      </c>
      <c r="D21" s="18"/>
      <c r="E21" s="13" t="str">
        <f aca="false">IF(B21="","",IFERROR(INDEX(Ana_Malzeme!$D$5:$D$204,MATCH(B21,Ana_Malzeme!$A$5:$A$204,0)),""))</f>
        <v/>
      </c>
      <c r="F21" s="15" t="str">
        <f aca="false">IF(B21="","",IFERROR(INDEX(Fiyat!$F$5:$F$204,MATCH(B21,Fiyat!$A$5:$A$204,0))+0,"FİYAT YOK"))</f>
        <v/>
      </c>
      <c r="G21" s="15" t="n">
        <f aca="false">IF(OR(B21="",D21="",NOT(ISNUMBER(F21))),0,D21*F21)</f>
        <v>0</v>
      </c>
      <c r="H21" s="13" t="str">
        <f aca="false">IF(B21="","",IF(C21="KATALOGDA YOK","Katalogda yok",IF(NOT(ISNUMBER(F21)),"Fiyat girilmemiş","")))</f>
        <v/>
      </c>
    </row>
    <row r="22" customFormat="false" ht="15" hidden="false" customHeight="false" outlineLevel="0" collapsed="false">
      <c r="A22" s="13" t="n">
        <v>18</v>
      </c>
      <c r="B22" s="4"/>
      <c r="C22" s="13" t="str">
        <f aca="false">IF(B22="","",IFERROR(INDEX(Ana_Malzeme!$B$5:$B$204,MATCH(B22,Ana_Malzeme!$A$5:$A$204,0)),"KATALOGDA YOK"))</f>
        <v/>
      </c>
      <c r="D22" s="18"/>
      <c r="E22" s="13" t="str">
        <f aca="false">IF(B22="","",IFERROR(INDEX(Ana_Malzeme!$D$5:$D$204,MATCH(B22,Ana_Malzeme!$A$5:$A$204,0)),""))</f>
        <v/>
      </c>
      <c r="F22" s="15" t="str">
        <f aca="false">IF(B22="","",IFERROR(INDEX(Fiyat!$F$5:$F$204,MATCH(B22,Fiyat!$A$5:$A$204,0))+0,"FİYAT YOK"))</f>
        <v/>
      </c>
      <c r="G22" s="15" t="n">
        <f aca="false">IF(OR(B22="",D22="",NOT(ISNUMBER(F22))),0,D22*F22)</f>
        <v>0</v>
      </c>
      <c r="H22" s="13" t="str">
        <f aca="false">IF(B22="","",IF(C22="KATALOGDA YOK","Katalogda yok",IF(NOT(ISNUMBER(F22)),"Fiyat girilmemiş","")))</f>
        <v/>
      </c>
    </row>
    <row r="23" customFormat="false" ht="15" hidden="false" customHeight="false" outlineLevel="0" collapsed="false">
      <c r="A23" s="13" t="n">
        <v>19</v>
      </c>
      <c r="B23" s="4"/>
      <c r="C23" s="13" t="str">
        <f aca="false">IF(B23="","",IFERROR(INDEX(Ana_Malzeme!$B$5:$B$204,MATCH(B23,Ana_Malzeme!$A$5:$A$204,0)),"KATALOGDA YOK"))</f>
        <v/>
      </c>
      <c r="D23" s="18"/>
      <c r="E23" s="13" t="str">
        <f aca="false">IF(B23="","",IFERROR(INDEX(Ana_Malzeme!$D$5:$D$204,MATCH(B23,Ana_Malzeme!$A$5:$A$204,0)),""))</f>
        <v/>
      </c>
      <c r="F23" s="15" t="str">
        <f aca="false">IF(B23="","",IFERROR(INDEX(Fiyat!$F$5:$F$204,MATCH(B23,Fiyat!$A$5:$A$204,0))+0,"FİYAT YOK"))</f>
        <v/>
      </c>
      <c r="G23" s="15" t="n">
        <f aca="false">IF(OR(B23="",D23="",NOT(ISNUMBER(F23))),0,D23*F23)</f>
        <v>0</v>
      </c>
      <c r="H23" s="13" t="str">
        <f aca="false">IF(B23="","",IF(C23="KATALOGDA YOK","Katalogda yok",IF(NOT(ISNUMBER(F23)),"Fiyat girilmemiş","")))</f>
        <v/>
      </c>
    </row>
    <row r="24" customFormat="false" ht="15" hidden="false" customHeight="false" outlineLevel="0" collapsed="false">
      <c r="A24" s="13" t="n">
        <v>20</v>
      </c>
      <c r="B24" s="4"/>
      <c r="C24" s="13" t="str">
        <f aca="false">IF(B24="","",IFERROR(INDEX(Ana_Malzeme!$B$5:$B$204,MATCH(B24,Ana_Malzeme!$A$5:$A$204,0)),"KATALOGDA YOK"))</f>
        <v/>
      </c>
      <c r="D24" s="18"/>
      <c r="E24" s="13" t="str">
        <f aca="false">IF(B24="","",IFERROR(INDEX(Ana_Malzeme!$D$5:$D$204,MATCH(B24,Ana_Malzeme!$A$5:$A$204,0)),""))</f>
        <v/>
      </c>
      <c r="F24" s="15" t="str">
        <f aca="false">IF(B24="","",IFERROR(INDEX(Fiyat!$F$5:$F$204,MATCH(B24,Fiyat!$A$5:$A$204,0))+0,"FİYAT YOK"))</f>
        <v/>
      </c>
      <c r="G24" s="15" t="n">
        <f aca="false">IF(OR(B24="",D24="",NOT(ISNUMBER(F24))),0,D24*F24)</f>
        <v>0</v>
      </c>
      <c r="H24" s="13" t="str">
        <f aca="false">IF(B24="","",IF(C24="KATALOGDA YOK","Katalogda yok",IF(NOT(ISNUMBER(F24)),"Fiyat girilmemiş","")))</f>
        <v/>
      </c>
    </row>
    <row r="25" customFormat="false" ht="15" hidden="false" customHeight="false" outlineLevel="0" collapsed="false">
      <c r="A25" s="13" t="n">
        <v>21</v>
      </c>
      <c r="B25" s="4"/>
      <c r="C25" s="13" t="str">
        <f aca="false">IF(B25="","",IFERROR(INDEX(Ana_Malzeme!$B$5:$B$204,MATCH(B25,Ana_Malzeme!$A$5:$A$204,0)),"KATALOGDA YOK"))</f>
        <v/>
      </c>
      <c r="D25" s="18"/>
      <c r="E25" s="13" t="str">
        <f aca="false">IF(B25="","",IFERROR(INDEX(Ana_Malzeme!$D$5:$D$204,MATCH(B25,Ana_Malzeme!$A$5:$A$204,0)),""))</f>
        <v/>
      </c>
      <c r="F25" s="15" t="str">
        <f aca="false">IF(B25="","",IFERROR(INDEX(Fiyat!$F$5:$F$204,MATCH(B25,Fiyat!$A$5:$A$204,0))+0,"FİYAT YOK"))</f>
        <v/>
      </c>
      <c r="G25" s="15" t="n">
        <f aca="false">IF(OR(B25="",D25="",NOT(ISNUMBER(F25))),0,D25*F25)</f>
        <v>0</v>
      </c>
      <c r="H25" s="13" t="str">
        <f aca="false">IF(B25="","",IF(C25="KATALOGDA YOK","Katalogda yok",IF(NOT(ISNUMBER(F25)),"Fiyat girilmemiş","")))</f>
        <v/>
      </c>
    </row>
    <row r="26" customFormat="false" ht="15" hidden="false" customHeight="false" outlineLevel="0" collapsed="false">
      <c r="A26" s="13" t="n">
        <v>22</v>
      </c>
      <c r="B26" s="4"/>
      <c r="C26" s="13" t="str">
        <f aca="false">IF(B26="","",IFERROR(INDEX(Ana_Malzeme!$B$5:$B$204,MATCH(B26,Ana_Malzeme!$A$5:$A$204,0)),"KATALOGDA YOK"))</f>
        <v/>
      </c>
      <c r="D26" s="18"/>
      <c r="E26" s="13" t="str">
        <f aca="false">IF(B26="","",IFERROR(INDEX(Ana_Malzeme!$D$5:$D$204,MATCH(B26,Ana_Malzeme!$A$5:$A$204,0)),""))</f>
        <v/>
      </c>
      <c r="F26" s="15" t="str">
        <f aca="false">IF(B26="","",IFERROR(INDEX(Fiyat!$F$5:$F$204,MATCH(B26,Fiyat!$A$5:$A$204,0))+0,"FİYAT YOK"))</f>
        <v/>
      </c>
      <c r="G26" s="15" t="n">
        <f aca="false">IF(OR(B26="",D26="",NOT(ISNUMBER(F26))),0,D26*F26)</f>
        <v>0</v>
      </c>
      <c r="H26" s="13" t="str">
        <f aca="false">IF(B26="","",IF(C26="KATALOGDA YOK","Katalogda yok",IF(NOT(ISNUMBER(F26)),"Fiyat girilmemiş","")))</f>
        <v/>
      </c>
    </row>
    <row r="27" customFormat="false" ht="15" hidden="false" customHeight="false" outlineLevel="0" collapsed="false">
      <c r="A27" s="13" t="n">
        <v>23</v>
      </c>
      <c r="B27" s="4"/>
      <c r="C27" s="13" t="str">
        <f aca="false">IF(B27="","",IFERROR(INDEX(Ana_Malzeme!$B$5:$B$204,MATCH(B27,Ana_Malzeme!$A$5:$A$204,0)),"KATALOGDA YOK"))</f>
        <v/>
      </c>
      <c r="D27" s="18"/>
      <c r="E27" s="13" t="str">
        <f aca="false">IF(B27="","",IFERROR(INDEX(Ana_Malzeme!$D$5:$D$204,MATCH(B27,Ana_Malzeme!$A$5:$A$204,0)),""))</f>
        <v/>
      </c>
      <c r="F27" s="15" t="str">
        <f aca="false">IF(B27="","",IFERROR(INDEX(Fiyat!$F$5:$F$204,MATCH(B27,Fiyat!$A$5:$A$204,0))+0,"FİYAT YOK"))</f>
        <v/>
      </c>
      <c r="G27" s="15" t="n">
        <f aca="false">IF(OR(B27="",D27="",NOT(ISNUMBER(F27))),0,D27*F27)</f>
        <v>0</v>
      </c>
      <c r="H27" s="13" t="str">
        <f aca="false">IF(B27="","",IF(C27="KATALOGDA YOK","Katalogda yok",IF(NOT(ISNUMBER(F27)),"Fiyat girilmemiş","")))</f>
        <v/>
      </c>
    </row>
    <row r="28" customFormat="false" ht="15" hidden="false" customHeight="false" outlineLevel="0" collapsed="false">
      <c r="A28" s="13" t="n">
        <v>24</v>
      </c>
      <c r="B28" s="4"/>
      <c r="C28" s="13" t="str">
        <f aca="false">IF(B28="","",IFERROR(INDEX(Ana_Malzeme!$B$5:$B$204,MATCH(B28,Ana_Malzeme!$A$5:$A$204,0)),"KATALOGDA YOK"))</f>
        <v/>
      </c>
      <c r="D28" s="18"/>
      <c r="E28" s="13" t="str">
        <f aca="false">IF(B28="","",IFERROR(INDEX(Ana_Malzeme!$D$5:$D$204,MATCH(B28,Ana_Malzeme!$A$5:$A$204,0)),""))</f>
        <v/>
      </c>
      <c r="F28" s="15" t="str">
        <f aca="false">IF(B28="","",IFERROR(INDEX(Fiyat!$F$5:$F$204,MATCH(B28,Fiyat!$A$5:$A$204,0))+0,"FİYAT YOK"))</f>
        <v/>
      </c>
      <c r="G28" s="15" t="n">
        <f aca="false">IF(OR(B28="",D28="",NOT(ISNUMBER(F28))),0,D28*F28)</f>
        <v>0</v>
      </c>
      <c r="H28" s="13" t="str">
        <f aca="false">IF(B28="","",IF(C28="KATALOGDA YOK","Katalogda yok",IF(NOT(ISNUMBER(F28)),"Fiyat girilmemiş","")))</f>
        <v/>
      </c>
    </row>
    <row r="29" customFormat="false" ht="15" hidden="false" customHeight="false" outlineLevel="0" collapsed="false">
      <c r="A29" s="13" t="n">
        <v>25</v>
      </c>
      <c r="B29" s="4"/>
      <c r="C29" s="13" t="str">
        <f aca="false">IF(B29="","",IFERROR(INDEX(Ana_Malzeme!$B$5:$B$204,MATCH(B29,Ana_Malzeme!$A$5:$A$204,0)),"KATALOGDA YOK"))</f>
        <v/>
      </c>
      <c r="D29" s="18"/>
      <c r="E29" s="13" t="str">
        <f aca="false">IF(B29="","",IFERROR(INDEX(Ana_Malzeme!$D$5:$D$204,MATCH(B29,Ana_Malzeme!$A$5:$A$204,0)),""))</f>
        <v/>
      </c>
      <c r="F29" s="15" t="str">
        <f aca="false">IF(B29="","",IFERROR(INDEX(Fiyat!$F$5:$F$204,MATCH(B29,Fiyat!$A$5:$A$204,0))+0,"FİYAT YOK"))</f>
        <v/>
      </c>
      <c r="G29" s="15" t="n">
        <f aca="false">IF(OR(B29="",D29="",NOT(ISNUMBER(F29))),0,D29*F29)</f>
        <v>0</v>
      </c>
      <c r="H29" s="13" t="str">
        <f aca="false">IF(B29="","",IF(C29="KATALOGDA YOK","Katalogda yok",IF(NOT(ISNUMBER(F29)),"Fiyat girilmemiş","")))</f>
        <v/>
      </c>
    </row>
    <row r="31" customFormat="false" ht="15" hidden="false" customHeight="false" outlineLevel="0" collapsed="false">
      <c r="F31" s="19" t="s">
        <v>99</v>
      </c>
      <c r="G31" s="20" t="n">
        <f aca="false">SUM(G5:G29)</f>
        <v>912</v>
      </c>
    </row>
  </sheetData>
  <sheetProtection sheet="true" autoFilter="false"/>
  <conditionalFormatting sqref="H5:H29">
    <cfRule type="expression" priority="2" aboveAverage="0" equalAverage="0" bottom="0" percent="0" rank="0" text="" dxfId="9">
      <formula>H5&lt;&gt;""</formula>
    </cfRule>
  </conditionalFormatting>
  <dataValidations count="2">
    <dataValidation allowBlank="true" error="Bu kod ana katalogda yok. Önce Ana_Malzeme'ye ekleyin." errorStyle="stop" errorTitle="Geçersiz kod" operator="between" showDropDown="false" showErrorMessage="true" showInputMessage="false" sqref="B5:B29" type="list">
      <formula1>Ana_Malzeme!$A$5:$A$204</formula1>
      <formula2>0</formula2>
    </dataValidation>
    <dataValidation allowBlank="true" error="Miktar sıfırdan büyük olmalı." errorStyle="stop" operator="greaterThan" showDropDown="false" showErrorMessage="true" showInputMessage="false" sqref="D5:D2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30" hidden="false" customHeight="true" outlineLevel="0" collapsed="false">
      <c r="A4" s="9" t="s">
        <v>105</v>
      </c>
      <c r="B4" s="9" t="s">
        <v>106</v>
      </c>
      <c r="C4" s="9" t="s">
        <v>107</v>
      </c>
      <c r="D4" s="9" t="s">
        <v>21</v>
      </c>
      <c r="E4" s="9" t="s">
        <v>108</v>
      </c>
      <c r="F4" s="9" t="s">
        <v>109</v>
      </c>
      <c r="G4" s="9" t="s">
        <v>110</v>
      </c>
    </row>
    <row r="5" customFormat="false" ht="15" hidden="false" customHeight="false" outlineLevel="0" collapsed="false">
      <c r="A5" s="11" t="s">
        <v>111</v>
      </c>
      <c r="B5" s="11" t="s">
        <v>87</v>
      </c>
      <c r="C5" s="11" t="s">
        <v>112</v>
      </c>
      <c r="D5" s="11" t="s">
        <v>113</v>
      </c>
      <c r="E5" s="11" t="s">
        <v>33</v>
      </c>
      <c r="F5" s="11" t="s">
        <v>114</v>
      </c>
      <c r="G5" s="11" t="s">
        <v>115</v>
      </c>
    </row>
    <row r="6" customFormat="false" ht="15" hidden="false" customHeight="false" outlineLevel="0" collapsed="false">
      <c r="A6" s="11" t="s">
        <v>116</v>
      </c>
      <c r="B6" s="11" t="s">
        <v>62</v>
      </c>
      <c r="C6" s="11" t="s">
        <v>112</v>
      </c>
      <c r="D6" s="11" t="s">
        <v>60</v>
      </c>
      <c r="E6" s="11" t="s">
        <v>117</v>
      </c>
      <c r="F6" s="11" t="s">
        <v>114</v>
      </c>
      <c r="G6" s="11" t="s">
        <v>61</v>
      </c>
    </row>
    <row r="7" customFormat="false" ht="15" hidden="false" customHeight="false" outlineLevel="0" collapsed="false">
      <c r="A7" s="11" t="s">
        <v>118</v>
      </c>
      <c r="B7" s="11" t="s">
        <v>87</v>
      </c>
      <c r="C7" s="11" t="s">
        <v>119</v>
      </c>
      <c r="D7" s="11" t="s">
        <v>36</v>
      </c>
      <c r="E7" s="11" t="s">
        <v>120</v>
      </c>
      <c r="F7" s="11" t="s">
        <v>121</v>
      </c>
      <c r="G7" s="11" t="s">
        <v>122</v>
      </c>
    </row>
    <row r="8" customFormat="false" ht="15" hidden="false" customHeight="false" outlineLevel="0" collapsed="false">
      <c r="A8" s="11" t="s">
        <v>123</v>
      </c>
      <c r="B8" s="11" t="s">
        <v>76</v>
      </c>
      <c r="C8" s="11" t="s">
        <v>112</v>
      </c>
      <c r="D8" s="11" t="s">
        <v>74</v>
      </c>
      <c r="E8" s="11" t="s">
        <v>117</v>
      </c>
      <c r="F8" s="11" t="s">
        <v>114</v>
      </c>
      <c r="G8" s="11" t="s">
        <v>75</v>
      </c>
    </row>
    <row r="9" customFormat="false" ht="15" hidden="false" customHeight="false" outlineLevel="0" collapsed="false">
      <c r="A9" s="11" t="s">
        <v>124</v>
      </c>
      <c r="B9" s="11" t="s">
        <v>76</v>
      </c>
      <c r="C9" s="11" t="s">
        <v>125</v>
      </c>
      <c r="D9" s="11" t="s">
        <v>74</v>
      </c>
      <c r="E9" s="11" t="s">
        <v>126</v>
      </c>
      <c r="F9" s="11" t="s">
        <v>114</v>
      </c>
      <c r="G9" s="11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B4" s="19" t="s">
        <v>130</v>
      </c>
      <c r="C4" s="0" t="str">
        <f aca="false">Makine!B4&amp;" — "&amp;Makine!B5</f>
        <v>PK-200 — Dikey Paketleme Makinesi</v>
      </c>
    </row>
    <row r="5" customFormat="false" ht="15" hidden="false" customHeight="false" outlineLevel="0" collapsed="false">
      <c r="B5" s="19" t="s">
        <v>131</v>
      </c>
      <c r="C5" s="0" t="str">
        <f aca="false">Makine!B6</f>
        <v>SP-2026-0147</v>
      </c>
    </row>
    <row r="7" customFormat="false" ht="15" hidden="false" customHeight="false" outlineLevel="0" collapsed="false">
      <c r="B7" s="21" t="s">
        <v>132</v>
      </c>
      <c r="C7" s="21" t="s">
        <v>133</v>
      </c>
      <c r="D7" s="21" t="s">
        <v>97</v>
      </c>
      <c r="E7" s="21" t="s">
        <v>134</v>
      </c>
    </row>
    <row r="8" customFormat="false" ht="15" hidden="false" customHeight="false" outlineLevel="0" collapsed="false">
      <c r="B8" s="11" t="s">
        <v>31</v>
      </c>
      <c r="C8" s="11" t="n">
        <f aca="false">COUNTA(Giris_SacProfil!B5:B29)</f>
        <v>4</v>
      </c>
      <c r="D8" s="22" t="n">
        <f aca="false">Giris_SacProfil!G31</f>
        <v>18595.12</v>
      </c>
      <c r="E8" s="11" t="n">
        <f aca="false">COUNTIF(Giris_SacProfil!H5:H29,"Fiyat girilmemiş")</f>
        <v>0</v>
      </c>
    </row>
    <row r="9" customFormat="false" ht="15" hidden="false" customHeight="false" outlineLevel="0" collapsed="false">
      <c r="B9" s="11" t="s">
        <v>45</v>
      </c>
      <c r="C9" s="11" t="n">
        <f aca="false">COUNTA(Giris_MotorRedüktör!B5:B29)</f>
        <v>3</v>
      </c>
      <c r="D9" s="22" t="n">
        <f aca="false">Giris_MotorRedüktör!G31</f>
        <v>24956</v>
      </c>
      <c r="E9" s="11" t="n">
        <f aca="false">COUNTIF(Giris_MotorRedüktör!H5:H29,"Fiyat girilmemiş")</f>
        <v>0</v>
      </c>
    </row>
    <row r="10" customFormat="false" ht="15" hidden="false" customHeight="false" outlineLevel="0" collapsed="false">
      <c r="B10" s="11" t="s">
        <v>55</v>
      </c>
      <c r="C10" s="11" t="n">
        <f aca="false">COUNTA(Giris_Elektrik!B5:B29)</f>
        <v>5</v>
      </c>
      <c r="D10" s="22" t="n">
        <f aca="false">Giris_Elektrik!G31</f>
        <v>16952.34</v>
      </c>
      <c r="E10" s="11" t="n">
        <f aca="false">COUNTIF(Giris_Elektrik!H5:H29,"Fiyat girilmemiş")</f>
        <v>0</v>
      </c>
    </row>
    <row r="11" customFormat="false" ht="15" hidden="false" customHeight="false" outlineLevel="0" collapsed="false">
      <c r="B11" s="11" t="s">
        <v>67</v>
      </c>
      <c r="C11" s="11" t="n">
        <f aca="false">COUNTA(Giris_Baglanti!B5:B29)</f>
        <v>4</v>
      </c>
      <c r="D11" s="22" t="n">
        <f aca="false">Giris_Baglanti!G31</f>
        <v>912</v>
      </c>
      <c r="E11" s="11" t="n">
        <f aca="false">COUNTIF(Giris_Baglanti!H5:H29,"Fiyat girilmemiş")</f>
        <v>1</v>
      </c>
    </row>
    <row r="13" customFormat="false" ht="15" hidden="false" customHeight="false" outlineLevel="0" collapsed="false">
      <c r="B13" s="23" t="s">
        <v>135</v>
      </c>
      <c r="C13" s="24"/>
      <c r="D13" s="25" t="n">
        <f aca="false">SUM(D8:D11)</f>
        <v>61415.46</v>
      </c>
    </row>
    <row r="14" customFormat="false" ht="15" hidden="false" customHeight="false" outlineLevel="0" collapsed="false">
      <c r="B14" s="26" t="s">
        <v>136</v>
      </c>
      <c r="C14" s="11"/>
      <c r="D14" s="27" t="n">
        <f aca="false">D13*Makine!B9/100</f>
        <v>13511.4012</v>
      </c>
    </row>
    <row r="15" customFormat="false" ht="15" hidden="false" customHeight="false" outlineLevel="0" collapsed="false">
      <c r="B15" s="23" t="s">
        <v>137</v>
      </c>
      <c r="C15" s="24"/>
      <c r="D15" s="25" t="n">
        <f aca="false">D13+D14</f>
        <v>74926.8612</v>
      </c>
    </row>
    <row r="16" customFormat="false" ht="15" hidden="false" customHeight="false" outlineLevel="0" collapsed="false">
      <c r="B16" s="26" t="s">
        <v>138</v>
      </c>
      <c r="C16" s="11"/>
      <c r="D16" s="27" t="n">
        <f aca="false">D15*Makine!B10/100</f>
        <v>14985.37224</v>
      </c>
    </row>
    <row r="17" customFormat="false" ht="15" hidden="false" customHeight="false" outlineLevel="0" collapsed="false">
      <c r="B17" s="23" t="s">
        <v>139</v>
      </c>
      <c r="C17" s="24"/>
      <c r="D17" s="25" t="n">
        <f aca="false">D15+D16</f>
        <v>89912.23344</v>
      </c>
    </row>
    <row r="19" customFormat="false" ht="15" hidden="false" customHeight="false" outlineLevel="0" collapsed="false">
      <c r="B19" s="8" t="s">
        <v>140</v>
      </c>
    </row>
    <row r="20" customFormat="false" ht="15" hidden="false" customHeight="false" outlineLevel="0" collapsed="false">
      <c r="B20" s="11" t="s">
        <v>141</v>
      </c>
      <c r="C20" s="11" t="n">
        <f aca="false">SUM(C8:C11)</f>
        <v>16</v>
      </c>
    </row>
    <row r="21" customFormat="false" ht="15" hidden="false" customHeight="false" outlineLevel="0" collapsed="false">
      <c r="B21" s="11" t="s">
        <v>142</v>
      </c>
      <c r="C21" s="28" t="n">
        <f aca="false">COUNTIF(Giris_SacProfil!C5:C29,"KATALOGDA YOK")+COUNTIF(Giris_MotorRedüktör!C5:C29,"KATALOGDA YOK")+COUNTIF(Giris_Elektrik!C5:C29,"KATALOGDA YOK")+COUNTIF(Giris_Baglanti!C5:C29,"KATALOGDA YOK")</f>
        <v>0</v>
      </c>
    </row>
    <row r="22" customFormat="false" ht="15" hidden="false" customHeight="false" outlineLevel="0" collapsed="false">
      <c r="B22" s="11" t="s">
        <v>143</v>
      </c>
      <c r="C22" s="28" t="n">
        <f aca="false">SUM(E8:E11)</f>
        <v>1</v>
      </c>
    </row>
    <row r="23" customFormat="false" ht="15" hidden="false" customHeight="false" outlineLevel="0" collapsed="false">
      <c r="B23" s="11" t="s">
        <v>144</v>
      </c>
      <c r="C23" s="29" t="str">
        <f aca="false">IF(C21+C22=0,"Maliyet güvenilir","Eksik veri: toplam olması gerekenden düşük")</f>
        <v>Eksik veri: toplam olması gerekenden düşük</v>
      </c>
    </row>
  </sheetData>
  <sheetProtection sheet="true" autoFilter="false"/>
  <conditionalFormatting sqref="C21:C22">
    <cfRule type="expression" priority="2" aboveAverage="0" equalAverage="0" bottom="0" percent="0" rank="0" text="" dxfId="5">
      <formula>C21&gt;0</formula>
    </cfRule>
  </conditionalFormatting>
  <conditionalFormatting sqref="C23">
    <cfRule type="expression" priority="3" aboveAverage="0" equalAverage="0" bottom="0" percent="0" rank="0" text="" dxfId="9">
      <formula>C21+C22&gt;0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2026-10-01T13:43:48Z</dcterms:created>
  <dc:creator>openpyxl</dc:creator>
  <dc:description/>
  <dc:language>tr-TR</dc:language>
  <cp:lastModifiedBy/>
  <dcterms:modified xsi:type="dcterms:W3CDTF">2026-10-01T13:43:48Z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