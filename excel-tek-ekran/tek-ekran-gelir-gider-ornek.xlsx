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  <sheet name="Hareket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 &quot;₺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b val="1"/>
    </font>
    <font>
      <i val="1"/>
      <color rgb="006B7280"/>
    </font>
    <font>
      <b val="1"/>
      <color rgb="006B7280"/>
      <sz val="9"/>
    </font>
    <font>
      <b val="1"/>
      <color rgb="000F766E"/>
      <sz val="15"/>
    </font>
    <font>
      <b val="1"/>
      <color rgb="00B91C1C"/>
      <sz val="15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vertical="center" indent="1"/>
    </xf>
    <xf numFmtId="0" fontId="3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indent="1"/>
    </xf>
    <xf numFmtId="166" fontId="6" fillId="4" borderId="0" applyAlignment="1" pivotButton="0" quotePrefix="0" xfId="0">
      <alignment horizontal="left" indent="1"/>
    </xf>
    <xf numFmtId="166" fontId="7" fillId="4" borderId="0" applyAlignment="1" pivotButton="0" quotePrefix="0" xfId="0">
      <alignment horizontal="left" indent="1"/>
    </xf>
    <xf numFmtId="9" fontId="6" fillId="4" borderId="0" applyAlignment="1" pivotButton="0" quotePrefix="0" xfId="0">
      <alignment horizontal="left" indent="1"/>
    </xf>
    <xf numFmtId="0" fontId="8" fillId="0" borderId="0" pivotButton="0" quotePrefix="0" xfId="0"/>
    <xf numFmtId="0" fontId="1" fillId="5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Aylık gelir / gider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'Panel'!L8</f>
            </strRef>
          </tx>
          <spPr>
            <a:ln>
              <a:prstDash val="solid"/>
            </a:ln>
          </spPr>
          <cat>
            <numRef>
              <f>'Panel'!$K$9:$K$14</f>
            </numRef>
          </cat>
          <val>
            <numRef>
              <f>'Panel'!$L$9:$L$14</f>
            </numRef>
          </val>
        </ser>
        <ser>
          <idx val="1"/>
          <order val="1"/>
          <tx>
            <strRef>
              <f>'Panel'!M8</f>
            </strRef>
          </tx>
          <spPr>
            <a:ln>
              <a:prstDash val="solid"/>
            </a:ln>
          </spPr>
          <cat>
            <numRef>
              <f>'Panel'!$K$9:$K$14</f>
            </numRef>
          </cat>
          <val>
            <numRef>
              <f>'Panel'!$M$9:$M$14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Gider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'Panel'!C8</f>
            </strRef>
          </tx>
          <spPr>
            <a:ln>
              <a:prstDash val="solid"/>
            </a:ln>
          </spPr>
          <cat>
            <numRef>
              <f>'Panel'!$B$9:$B$16</f>
            </numRef>
          </cat>
          <val>
            <numRef>
              <f>'Panel'!$C$9:$C$16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18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areket" displayName="Hareket" ref="A1:G103" headerRowCount="1">
  <autoFilter ref="A1:G103"/>
  <tableColumns count="7">
    <tableColumn id="1" name="Tarih"/>
    <tableColumn id="2" name="Banka"/>
    <tableColumn id="3" name="Açıklama"/>
    <tableColumn id="4" name="Kategori"/>
    <tableColumn id="5" name="Tür"/>
    <tableColumn id="6" name="Tutar (TL)"/>
    <tableColumn id="7" name="Ay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8" customWidth="1" min="4" max="4"/>
    <col width="18" customWidth="1" min="5" max="5"/>
    <col width="3" customWidth="1" min="6" max="6"/>
    <col width="16" customWidth="1" min="7" max="7"/>
    <col width="14" customWidth="1" min="8" max="8"/>
    <col width="14" customWidth="1" min="9" max="9"/>
    <col width="3" customWidth="1" min="10" max="10"/>
    <col width="16" customWidth="1" min="11" max="11"/>
    <col width="14" customWidth="1" min="12" max="12"/>
    <col width="14" customWidth="1" min="13" max="13"/>
    <col width="2" customWidth="1" min="14" max="14"/>
  </cols>
  <sheetData>
    <row r="1" ht="40" customHeight="1">
      <c r="B1" s="1" t="inlineStr">
        <is>
          <t>Gelir – Gider Paneli</t>
        </is>
      </c>
    </row>
    <row r="2">
      <c r="B2" t="inlineStr">
        <is>
          <t>Dönem:</t>
        </is>
      </c>
      <c r="C2" s="2" t="inlineStr">
        <is>
          <t>Tümü</t>
        </is>
      </c>
      <c r="D2" s="3" t="inlineStr">
        <is>
          <t>← listeden 'Tümü' ya da bir ay seçin</t>
        </is>
      </c>
    </row>
    <row r="4">
      <c r="B4" s="4" t="inlineStr">
        <is>
          <t>TOPLAM GELİR</t>
        </is>
      </c>
      <c r="C4" s="4" t="inlineStr">
        <is>
          <t>TOPLAM GİDER</t>
        </is>
      </c>
      <c r="D4" s="4" t="inlineStr">
        <is>
          <t>NET</t>
        </is>
      </c>
      <c r="E4" s="4" t="inlineStr">
        <is>
          <t>TASARRUF ORANI</t>
        </is>
      </c>
    </row>
    <row r="5" ht="32" customHeight="1">
      <c r="B5" s="5">
        <f>IF($C$2="Tümü",SUMIFS(Hareketler!$F$2:$F$1000,Hareketler!$E$2:$E$1000,"Gelir"),SUMIFS(Hareketler!$F$2:$F$1000,Hareketler!$E$2:$E$1000,"Gelir",Hareketler!$G$2:$G$1000,$C$2))</f>
        <v/>
      </c>
      <c r="C5" s="6">
        <f>IF($C$2="Tümü",SUMIFS(Hareketler!$F$2:$F$1000,Hareketler!$E$2:$E$1000,"Gider"),SUMIFS(Hareketler!$F$2:$F$1000,Hareketler!$E$2:$E$1000,"Gider",Hareketler!$G$2:$G$1000,$C$2))</f>
        <v/>
      </c>
      <c r="D5" s="5">
        <f>B5-C5</f>
        <v/>
      </c>
      <c r="E5" s="7">
        <f>IF(B5=0,0,D5/B5)</f>
        <v/>
      </c>
    </row>
    <row r="7">
      <c r="B7" s="8" t="inlineStr">
        <is>
          <t>Gider kategorileri</t>
        </is>
      </c>
      <c r="G7" s="8" t="inlineStr">
        <is>
          <t>Hesap bazında</t>
        </is>
      </c>
      <c r="K7" s="8" t="inlineStr">
        <is>
          <t>Aylık seyir</t>
        </is>
      </c>
    </row>
    <row r="8">
      <c r="B8" s="9" t="inlineStr">
        <is>
          <t>Kategori</t>
        </is>
      </c>
      <c r="C8" s="9" t="inlineStr">
        <is>
          <t>Tutar</t>
        </is>
      </c>
      <c r="D8" s="9" t="inlineStr">
        <is>
          <t>Pay</t>
        </is>
      </c>
      <c r="G8" s="9" t="inlineStr">
        <is>
          <t>Hesap</t>
        </is>
      </c>
      <c r="H8" s="9" t="inlineStr">
        <is>
          <t>Gelir</t>
        </is>
      </c>
      <c r="I8" s="9" t="inlineStr">
        <is>
          <t>Gider</t>
        </is>
      </c>
      <c r="K8" s="9" t="inlineStr">
        <is>
          <t>Ay</t>
        </is>
      </c>
      <c r="L8" s="9" t="inlineStr">
        <is>
          <t>Gelir</t>
        </is>
      </c>
      <c r="M8" s="9" t="inlineStr">
        <is>
          <t>Gider</t>
        </is>
      </c>
    </row>
    <row r="9">
      <c r="B9" t="inlineStr">
        <is>
          <t>Kira</t>
        </is>
      </c>
      <c r="C9" s="10">
        <f>IF($C$2="Tümü",SUMIFS(Hareketler!$F$2:$F$1000,Hareketler!$D$2:$D$1000,B9,Hareketler!$E$2:$E$1000,"Gider"),SUMIFS(Hareketler!$F$2:$F$1000,Hareketler!$D$2:$D$1000,B9,Hareketler!$E$2:$E$1000,"Gider",Hareketler!$G$2:$G$1000,$C$2))</f>
        <v/>
      </c>
      <c r="D9" s="11">
        <f>IF($C$5=0,0,C9/$C$5)</f>
        <v/>
      </c>
      <c r="G9" t="inlineStr">
        <is>
          <t>Ziraat</t>
        </is>
      </c>
      <c r="H9" s="10">
        <f>IF($C$2="Tümü",SUMIFS(Hareketler!$F$2:$F$1000,Hareketler!$B$2:$B$1000,$G9,Hareketler!$E$2:$E$1000,"Gelir"),SUMIFS(Hareketler!$F$2:$F$1000,Hareketler!$B$2:$B$1000,$G9,Hareketler!$E$2:$E$1000,"Gelir",Hareketler!$G$2:$G$1000,$C$2))</f>
        <v/>
      </c>
      <c r="I9" s="10">
        <f>IF($C$2="Tümü",SUMIFS(Hareketler!$F$2:$F$1000,Hareketler!$B$2:$B$1000,$G9,Hareketler!$E$2:$E$1000,"Gider"),SUMIFS(Hareketler!$F$2:$F$1000,Hareketler!$B$2:$B$1000,$G9,Hareketler!$E$2:$E$1000,"Gider",Hareketler!$G$2:$G$1000,$C$2))</f>
        <v/>
      </c>
      <c r="K9" t="inlineStr">
        <is>
          <t>2026-05</t>
        </is>
      </c>
      <c r="L9" s="10">
        <f>SUMIFS(Hareketler!$F$2:$F$1000,Hareketler!$E$2:$E$1000,"Gelir",Hareketler!$G$2:$G$1000,K9)</f>
        <v/>
      </c>
      <c r="M9" s="10">
        <f>SUMIFS(Hareketler!$F$2:$F$1000,Hareketler!$E$2:$E$1000,"Gider",Hareketler!$G$2:$G$1000,K9)</f>
        <v/>
      </c>
    </row>
    <row r="10">
      <c r="B10" t="inlineStr">
        <is>
          <t>Market</t>
        </is>
      </c>
      <c r="C10" s="10">
        <f>IF($C$2="Tümü",SUMIFS(Hareketler!$F$2:$F$1000,Hareketler!$D$2:$D$1000,B10,Hareketler!$E$2:$E$1000,"Gider"),SUMIFS(Hareketler!$F$2:$F$1000,Hareketler!$D$2:$D$1000,B10,Hareketler!$E$2:$E$1000,"Gider",Hareketler!$G$2:$G$1000,$C$2))</f>
        <v/>
      </c>
      <c r="D10" s="11">
        <f>IF($C$5=0,0,C10/$C$5)</f>
        <v/>
      </c>
      <c r="G10" t="inlineStr">
        <is>
          <t>Garanti</t>
        </is>
      </c>
      <c r="H10" s="10">
        <f>IF($C$2="Tümü",SUMIFS(Hareketler!$F$2:$F$1000,Hareketler!$B$2:$B$1000,$G10,Hareketler!$E$2:$E$1000,"Gelir"),SUMIFS(Hareketler!$F$2:$F$1000,Hareketler!$B$2:$B$1000,$G10,Hareketler!$E$2:$E$1000,"Gelir",Hareketler!$G$2:$G$1000,$C$2))</f>
        <v/>
      </c>
      <c r="I10" s="10">
        <f>IF($C$2="Tümü",SUMIFS(Hareketler!$F$2:$F$1000,Hareketler!$B$2:$B$1000,$G10,Hareketler!$E$2:$E$1000,"Gider"),SUMIFS(Hareketler!$F$2:$F$1000,Hareketler!$B$2:$B$1000,$G10,Hareketler!$E$2:$E$1000,"Gider",Hareketler!$G$2:$G$1000,$C$2))</f>
        <v/>
      </c>
      <c r="K10" t="inlineStr">
        <is>
          <t>2026-06</t>
        </is>
      </c>
      <c r="L10" s="10">
        <f>SUMIFS(Hareketler!$F$2:$F$1000,Hareketler!$E$2:$E$1000,"Gelir",Hareketler!$G$2:$G$1000,K10)</f>
        <v/>
      </c>
      <c r="M10" s="10">
        <f>SUMIFS(Hareketler!$F$2:$F$1000,Hareketler!$E$2:$E$1000,"Gider",Hareketler!$G$2:$G$1000,K10)</f>
        <v/>
      </c>
    </row>
    <row r="11">
      <c r="B11" t="inlineStr">
        <is>
          <t>Fatura</t>
        </is>
      </c>
      <c r="C11" s="10">
        <f>IF($C$2="Tümü",SUMIFS(Hareketler!$F$2:$F$1000,Hareketler!$D$2:$D$1000,B11,Hareketler!$E$2:$E$1000,"Gider"),SUMIFS(Hareketler!$F$2:$F$1000,Hareketler!$D$2:$D$1000,B11,Hareketler!$E$2:$E$1000,"Gider",Hareketler!$G$2:$G$1000,$C$2))</f>
        <v/>
      </c>
      <c r="D11" s="11">
        <f>IF($C$5=0,0,C11/$C$5)</f>
        <v/>
      </c>
      <c r="G11" t="inlineStr">
        <is>
          <t>Nakit</t>
        </is>
      </c>
      <c r="H11" s="10">
        <f>IF($C$2="Tümü",SUMIFS(Hareketler!$F$2:$F$1000,Hareketler!$B$2:$B$1000,$G11,Hareketler!$E$2:$E$1000,"Gelir"),SUMIFS(Hareketler!$F$2:$F$1000,Hareketler!$B$2:$B$1000,$G11,Hareketler!$E$2:$E$1000,"Gelir",Hareketler!$G$2:$G$1000,$C$2))</f>
        <v/>
      </c>
      <c r="I11" s="10">
        <f>IF($C$2="Tümü",SUMIFS(Hareketler!$F$2:$F$1000,Hareketler!$B$2:$B$1000,$G11,Hareketler!$E$2:$E$1000,"Gider"),SUMIFS(Hareketler!$F$2:$F$1000,Hareketler!$B$2:$B$1000,$G11,Hareketler!$E$2:$E$1000,"Gider",Hareketler!$G$2:$G$1000,$C$2))</f>
        <v/>
      </c>
      <c r="K11" t="inlineStr">
        <is>
          <t>2026-07</t>
        </is>
      </c>
      <c r="L11" s="10">
        <f>SUMIFS(Hareketler!$F$2:$F$1000,Hareketler!$E$2:$E$1000,"Gelir",Hareketler!$G$2:$G$1000,K11)</f>
        <v/>
      </c>
      <c r="M11" s="10">
        <f>SUMIFS(Hareketler!$F$2:$F$1000,Hareketler!$E$2:$E$1000,"Gider",Hareketler!$G$2:$G$1000,K11)</f>
        <v/>
      </c>
    </row>
    <row r="12">
      <c r="B12" t="inlineStr">
        <is>
          <t>Ulaşım</t>
        </is>
      </c>
      <c r="C12" s="10">
        <f>IF($C$2="Tümü",SUMIFS(Hareketler!$F$2:$F$1000,Hareketler!$D$2:$D$1000,B12,Hareketler!$E$2:$E$1000,"Gider"),SUMIFS(Hareketler!$F$2:$F$1000,Hareketler!$D$2:$D$1000,B12,Hareketler!$E$2:$E$1000,"Gider",Hareketler!$G$2:$G$1000,$C$2))</f>
        <v/>
      </c>
      <c r="D12" s="11">
        <f>IF($C$5=0,0,C12/$C$5)</f>
        <v/>
      </c>
      <c r="K12" t="inlineStr">
        <is>
          <t>2026-08</t>
        </is>
      </c>
      <c r="L12" s="10">
        <f>SUMIFS(Hareketler!$F$2:$F$1000,Hareketler!$E$2:$E$1000,"Gelir",Hareketler!$G$2:$G$1000,K12)</f>
        <v/>
      </c>
      <c r="M12" s="10">
        <f>SUMIFS(Hareketler!$F$2:$F$1000,Hareketler!$E$2:$E$1000,"Gider",Hareketler!$G$2:$G$1000,K12)</f>
        <v/>
      </c>
    </row>
    <row r="13">
      <c r="B13" t="inlineStr">
        <is>
          <t>Eğlence</t>
        </is>
      </c>
      <c r="C13" s="10">
        <f>IF($C$2="Tümü",SUMIFS(Hareketler!$F$2:$F$1000,Hareketler!$D$2:$D$1000,B13,Hareketler!$E$2:$E$1000,"Gider"),SUMIFS(Hareketler!$F$2:$F$1000,Hareketler!$D$2:$D$1000,B13,Hareketler!$E$2:$E$1000,"Gider",Hareketler!$G$2:$G$1000,$C$2))</f>
        <v/>
      </c>
      <c r="D13" s="11">
        <f>IF($C$5=0,0,C13/$C$5)</f>
        <v/>
      </c>
      <c r="K13" t="inlineStr">
        <is>
          <t>2026-09</t>
        </is>
      </c>
      <c r="L13" s="10">
        <f>SUMIFS(Hareketler!$F$2:$F$1000,Hareketler!$E$2:$E$1000,"Gelir",Hareketler!$G$2:$G$1000,K13)</f>
        <v/>
      </c>
      <c r="M13" s="10">
        <f>SUMIFS(Hareketler!$F$2:$F$1000,Hareketler!$E$2:$E$1000,"Gider",Hareketler!$G$2:$G$1000,K13)</f>
        <v/>
      </c>
    </row>
    <row r="14">
      <c r="B14" t="inlineStr">
        <is>
          <t>Sağlık</t>
        </is>
      </c>
      <c r="C14" s="10">
        <f>IF($C$2="Tümü",SUMIFS(Hareketler!$F$2:$F$1000,Hareketler!$D$2:$D$1000,B14,Hareketler!$E$2:$E$1000,"Gider"),SUMIFS(Hareketler!$F$2:$F$1000,Hareketler!$D$2:$D$1000,B14,Hareketler!$E$2:$E$1000,"Gider",Hareketler!$G$2:$G$1000,$C$2))</f>
        <v/>
      </c>
      <c r="D14" s="11">
        <f>IF($C$5=0,0,C14/$C$5)</f>
        <v/>
      </c>
      <c r="K14" t="inlineStr">
        <is>
          <t>2026-10</t>
        </is>
      </c>
      <c r="L14" s="10">
        <f>SUMIFS(Hareketler!$F$2:$F$1000,Hareketler!$E$2:$E$1000,"Gelir",Hareketler!$G$2:$G$1000,K14)</f>
        <v/>
      </c>
      <c r="M14" s="10">
        <f>SUMIFS(Hareketler!$F$2:$F$1000,Hareketler!$E$2:$E$1000,"Gider",Hareketler!$G$2:$G$1000,K14)</f>
        <v/>
      </c>
    </row>
    <row r="15">
      <c r="B15" t="inlineStr">
        <is>
          <t>Abonelik</t>
        </is>
      </c>
      <c r="C15" s="10">
        <f>IF($C$2="Tümü",SUMIFS(Hareketler!$F$2:$F$1000,Hareketler!$D$2:$D$1000,B15,Hareketler!$E$2:$E$1000,"Gider"),SUMIFS(Hareketler!$F$2:$F$1000,Hareketler!$D$2:$D$1000,B15,Hareketler!$E$2:$E$1000,"Gider",Hareketler!$G$2:$G$1000,$C$2))</f>
        <v/>
      </c>
      <c r="D15" s="11">
        <f>IF($C$5=0,0,C15/$C$5)</f>
        <v/>
      </c>
    </row>
    <row r="16">
      <c r="B16" t="inlineStr">
        <is>
          <t>Diğer</t>
        </is>
      </c>
      <c r="C16" s="10">
        <f>IF($C$2="Tümü",SUMIFS(Hareketler!$F$2:$F$1000,Hareketler!$D$2:$D$1000,B16,Hareketler!$E$2:$E$1000,"Gider"),SUMIFS(Hareketler!$F$2:$F$1000,Hareketler!$D$2:$D$1000,B16,Hareketler!$E$2:$E$1000,"Gider",Hareketler!$G$2:$G$1000,$C$2))</f>
        <v/>
      </c>
      <c r="D16" s="11">
        <f>IF($C$5=0,0,C16/$C$5)</f>
        <v/>
      </c>
    </row>
  </sheetData>
  <mergeCells count="1">
    <mergeCell ref="B1:M1"/>
  </mergeCells>
  <dataValidations count="1">
    <dataValidation sqref="C2" showDropDown="0" showInputMessage="0" showErrorMessage="0" allowBlank="0" type="list">
      <formula1>"Tümü,2026-05,2026-06,2026-07,2026-08,2026-09,2026-10"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4" customWidth="1" min="4" max="4"/>
    <col width="9" customWidth="1" min="5" max="5"/>
    <col width="14" customWidth="1" min="6" max="6"/>
    <col width="10" customWidth="1" min="7" max="7"/>
  </cols>
  <sheetData>
    <row r="1">
      <c r="A1" s="12" t="inlineStr">
        <is>
          <t>Tarih</t>
        </is>
      </c>
      <c r="B1" s="12" t="inlineStr">
        <is>
          <t>Banka</t>
        </is>
      </c>
      <c r="C1" s="12" t="inlineStr">
        <is>
          <t>Açıklama</t>
        </is>
      </c>
      <c r="D1" s="12" t="inlineStr">
        <is>
          <t>Kategori</t>
        </is>
      </c>
      <c r="E1" s="12" t="inlineStr">
        <is>
          <t>Tür</t>
        </is>
      </c>
      <c r="F1" s="12" t="inlineStr">
        <is>
          <t>Tutar (TL)</t>
        </is>
      </c>
      <c r="G1" s="12" t="inlineStr">
        <is>
          <t>Ay</t>
        </is>
      </c>
    </row>
    <row r="2">
      <c r="A2" s="13" t="n">
        <v>46143</v>
      </c>
      <c r="B2" t="inlineStr">
        <is>
          <t>Ziraat</t>
        </is>
      </c>
      <c r="C2" t="inlineStr">
        <is>
          <t>Maaş yatışı</t>
        </is>
      </c>
      <c r="D2" t="inlineStr">
        <is>
          <t>Maaş</t>
        </is>
      </c>
      <c r="E2" t="inlineStr">
        <is>
          <t>Gelir</t>
        </is>
      </c>
      <c r="F2" s="10" t="n">
        <v>32000</v>
      </c>
      <c r="G2">
        <f>TEXT(A2,"YYYY-MM")</f>
        <v/>
      </c>
    </row>
    <row r="3">
      <c r="A3" s="13" t="n">
        <v>46145</v>
      </c>
      <c r="B3" t="inlineStr">
        <is>
          <t>Nakit</t>
        </is>
      </c>
      <c r="C3" t="inlineStr">
        <is>
          <t>Abonelik harcaması</t>
        </is>
      </c>
      <c r="D3" t="inlineStr">
        <is>
          <t>Abonelik</t>
        </is>
      </c>
      <c r="E3" t="inlineStr">
        <is>
          <t>Gider</t>
        </is>
      </c>
      <c r="F3" s="10" t="n">
        <v>91</v>
      </c>
      <c r="G3">
        <f>TEXT(A3,"YYYY-MM")</f>
        <v/>
      </c>
    </row>
    <row r="4">
      <c r="A4" s="13" t="n">
        <v>46145</v>
      </c>
      <c r="B4" t="inlineStr">
        <is>
          <t>Ziraat</t>
        </is>
      </c>
      <c r="C4" t="inlineStr">
        <is>
          <t>Abonelik harcaması</t>
        </is>
      </c>
      <c r="D4" t="inlineStr">
        <is>
          <t>Abonelik</t>
        </is>
      </c>
      <c r="E4" t="inlineStr">
        <is>
          <t>Gider</t>
        </is>
      </c>
      <c r="F4" s="10" t="n">
        <v>71</v>
      </c>
      <c r="G4">
        <f>TEXT(A4,"YYYY-MM")</f>
        <v/>
      </c>
    </row>
    <row r="5">
      <c r="A5" s="13" t="n">
        <v>46145</v>
      </c>
      <c r="B5" t="inlineStr">
        <is>
          <t>Ziraat</t>
        </is>
      </c>
      <c r="C5" t="inlineStr">
        <is>
          <t>Eğlence harcaması</t>
        </is>
      </c>
      <c r="D5" t="inlineStr">
        <is>
          <t>Eğlence</t>
        </is>
      </c>
      <c r="E5" t="inlineStr">
        <is>
          <t>Gider</t>
        </is>
      </c>
      <c r="F5" s="10" t="n">
        <v>1038</v>
      </c>
      <c r="G5">
        <f>TEXT(A5,"YYYY-MM")</f>
        <v/>
      </c>
    </row>
    <row r="6">
      <c r="A6" s="13" t="n">
        <v>46145</v>
      </c>
      <c r="B6" t="inlineStr">
        <is>
          <t>Ziraat</t>
        </is>
      </c>
      <c r="C6" t="inlineStr">
        <is>
          <t>Kira</t>
        </is>
      </c>
      <c r="D6" t="inlineStr">
        <is>
          <t>Kira</t>
        </is>
      </c>
      <c r="E6" t="inlineStr">
        <is>
          <t>Gider</t>
        </is>
      </c>
      <c r="F6" s="10" t="n">
        <v>12500</v>
      </c>
      <c r="G6">
        <f>TEXT(A6,"YYYY-MM")</f>
        <v/>
      </c>
    </row>
    <row r="7">
      <c r="A7" s="13" t="n">
        <v>46146</v>
      </c>
      <c r="B7" t="inlineStr">
        <is>
          <t>Ziraat</t>
        </is>
      </c>
      <c r="C7" t="inlineStr">
        <is>
          <t>Abonelik harcaması</t>
        </is>
      </c>
      <c r="D7" t="inlineStr">
        <is>
          <t>Abonelik</t>
        </is>
      </c>
      <c r="E7" t="inlineStr">
        <is>
          <t>Gider</t>
        </is>
      </c>
      <c r="F7" s="10" t="n">
        <v>83</v>
      </c>
      <c r="G7">
        <f>TEXT(A7,"YYYY-MM")</f>
        <v/>
      </c>
    </row>
    <row r="8">
      <c r="A8" s="13" t="n">
        <v>46147</v>
      </c>
      <c r="B8" t="inlineStr">
        <is>
          <t>Nakit</t>
        </is>
      </c>
      <c r="C8" t="inlineStr">
        <is>
          <t>Sağlık harcaması</t>
        </is>
      </c>
      <c r="D8" t="inlineStr">
        <is>
          <t>Sağlık</t>
        </is>
      </c>
      <c r="E8" t="inlineStr">
        <is>
          <t>Gider</t>
        </is>
      </c>
      <c r="F8" s="10" t="n">
        <v>264</v>
      </c>
      <c r="G8">
        <f>TEXT(A8,"YYYY-MM")</f>
        <v/>
      </c>
    </row>
    <row r="9">
      <c r="A9" s="13" t="n">
        <v>46147</v>
      </c>
      <c r="B9" t="inlineStr">
        <is>
          <t>Nakit</t>
        </is>
      </c>
      <c r="C9" t="inlineStr">
        <is>
          <t>Ulaşım harcaması</t>
        </is>
      </c>
      <c r="D9" t="inlineStr">
        <is>
          <t>Ulaşım</t>
        </is>
      </c>
      <c r="E9" t="inlineStr">
        <is>
          <t>Gider</t>
        </is>
      </c>
      <c r="F9" s="10" t="n">
        <v>272</v>
      </c>
      <c r="G9">
        <f>TEXT(A9,"YYYY-MM")</f>
        <v/>
      </c>
    </row>
    <row r="10">
      <c r="A10" s="13" t="n">
        <v>46153</v>
      </c>
      <c r="B10" t="inlineStr">
        <is>
          <t>Garanti</t>
        </is>
      </c>
      <c r="C10" t="inlineStr">
        <is>
          <t>Ulaşım harcaması</t>
        </is>
      </c>
      <c r="D10" t="inlineStr">
        <is>
          <t>Ulaşım</t>
        </is>
      </c>
      <c r="E10" t="inlineStr">
        <is>
          <t>Gider</t>
        </is>
      </c>
      <c r="F10" s="10" t="n">
        <v>227</v>
      </c>
      <c r="G10">
        <f>TEXT(A10,"YYYY-MM")</f>
        <v/>
      </c>
    </row>
    <row r="11">
      <c r="A11" s="13" t="n">
        <v>46156</v>
      </c>
      <c r="B11" t="inlineStr">
        <is>
          <t>Nakit</t>
        </is>
      </c>
      <c r="C11" t="inlineStr">
        <is>
          <t>Ulaşım harcaması</t>
        </is>
      </c>
      <c r="D11" t="inlineStr">
        <is>
          <t>Ulaşım</t>
        </is>
      </c>
      <c r="E11" t="inlineStr">
        <is>
          <t>Gider</t>
        </is>
      </c>
      <c r="F11" s="10" t="n">
        <v>129</v>
      </c>
      <c r="G11">
        <f>TEXT(A11,"YYYY-MM")</f>
        <v/>
      </c>
    </row>
    <row r="12">
      <c r="A12" s="13" t="n">
        <v>46157</v>
      </c>
      <c r="B12" t="inlineStr">
        <is>
          <t>Garanti</t>
        </is>
      </c>
      <c r="C12" t="inlineStr">
        <is>
          <t>Serbest iş ödemesi</t>
        </is>
      </c>
      <c r="D12" t="inlineStr">
        <is>
          <t>Serbest iş</t>
        </is>
      </c>
      <c r="E12" t="inlineStr">
        <is>
          <t>Gelir</t>
        </is>
      </c>
      <c r="F12" s="10" t="n">
        <v>3800</v>
      </c>
      <c r="G12">
        <f>TEXT(A12,"YYYY-MM")</f>
        <v/>
      </c>
    </row>
    <row r="13">
      <c r="A13" s="13" t="n">
        <v>46162</v>
      </c>
      <c r="B13" t="inlineStr">
        <is>
          <t>Garanti</t>
        </is>
      </c>
      <c r="C13" t="inlineStr">
        <is>
          <t>Market harcaması</t>
        </is>
      </c>
      <c r="D13" t="inlineStr">
        <is>
          <t>Market</t>
        </is>
      </c>
      <c r="E13" t="inlineStr">
        <is>
          <t>Gider</t>
        </is>
      </c>
      <c r="F13" s="10" t="n">
        <v>1397</v>
      </c>
      <c r="G13">
        <f>TEXT(A13,"YYYY-MM")</f>
        <v/>
      </c>
    </row>
    <row r="14">
      <c r="A14" s="13" t="n">
        <v>46162</v>
      </c>
      <c r="B14" t="inlineStr">
        <is>
          <t>Ziraat</t>
        </is>
      </c>
      <c r="C14" t="inlineStr">
        <is>
          <t>Sağlık harcaması</t>
        </is>
      </c>
      <c r="D14" t="inlineStr">
        <is>
          <t>Sağlık</t>
        </is>
      </c>
      <c r="E14" t="inlineStr">
        <is>
          <t>Gider</t>
        </is>
      </c>
      <c r="F14" s="10" t="n">
        <v>719</v>
      </c>
      <c r="G14">
        <f>TEXT(A14,"YYYY-MM")</f>
        <v/>
      </c>
    </row>
    <row r="15">
      <c r="A15" s="13" t="n">
        <v>46163</v>
      </c>
      <c r="B15" t="inlineStr">
        <is>
          <t>Ziraat</t>
        </is>
      </c>
      <c r="C15" t="inlineStr">
        <is>
          <t>Market harcaması</t>
        </is>
      </c>
      <c r="D15" t="inlineStr">
        <is>
          <t>Market</t>
        </is>
      </c>
      <c r="E15" t="inlineStr">
        <is>
          <t>Gider</t>
        </is>
      </c>
      <c r="F15" s="10" t="n">
        <v>1266</v>
      </c>
      <c r="G15">
        <f>TEXT(A15,"YYYY-MM")</f>
        <v/>
      </c>
    </row>
    <row r="16">
      <c r="A16" s="13" t="n">
        <v>46164</v>
      </c>
      <c r="B16" t="inlineStr">
        <is>
          <t>Nakit</t>
        </is>
      </c>
      <c r="C16" t="inlineStr">
        <is>
          <t>Eğlence harcaması</t>
        </is>
      </c>
      <c r="D16" t="inlineStr">
        <is>
          <t>Eğlence</t>
        </is>
      </c>
      <c r="E16" t="inlineStr">
        <is>
          <t>Gider</t>
        </is>
      </c>
      <c r="F16" s="10" t="n">
        <v>276</v>
      </c>
      <c r="G16">
        <f>TEXT(A16,"YYYY-MM")</f>
        <v/>
      </c>
    </row>
    <row r="17">
      <c r="A17" s="13" t="n">
        <v>46168</v>
      </c>
      <c r="B17" t="inlineStr">
        <is>
          <t>Garanti</t>
        </is>
      </c>
      <c r="C17" t="inlineStr">
        <is>
          <t>Abonelik harcaması</t>
        </is>
      </c>
      <c r="D17" t="inlineStr">
        <is>
          <t>Abonelik</t>
        </is>
      </c>
      <c r="E17" t="inlineStr">
        <is>
          <t>Gider</t>
        </is>
      </c>
      <c r="F17" s="10" t="n">
        <v>179</v>
      </c>
      <c r="G17">
        <f>TEXT(A17,"YYYY-MM")</f>
        <v/>
      </c>
    </row>
    <row r="18">
      <c r="A18" s="13" t="n">
        <v>46170</v>
      </c>
      <c r="B18" t="inlineStr">
        <is>
          <t>Nakit</t>
        </is>
      </c>
      <c r="C18" t="inlineStr">
        <is>
          <t>Market harcaması</t>
        </is>
      </c>
      <c r="D18" t="inlineStr">
        <is>
          <t>Market</t>
        </is>
      </c>
      <c r="E18" t="inlineStr">
        <is>
          <t>Gider</t>
        </is>
      </c>
      <c r="F18" s="10" t="n">
        <v>442</v>
      </c>
      <c r="G18">
        <f>TEXT(A18,"YYYY-MM")</f>
        <v/>
      </c>
    </row>
    <row r="19">
      <c r="A19" s="13" t="n">
        <v>46174</v>
      </c>
      <c r="B19" t="inlineStr">
        <is>
          <t>Ziraat</t>
        </is>
      </c>
      <c r="C19" t="inlineStr">
        <is>
          <t>Maaş yatışı</t>
        </is>
      </c>
      <c r="D19" t="inlineStr">
        <is>
          <t>Maaş</t>
        </is>
      </c>
      <c r="E19" t="inlineStr">
        <is>
          <t>Gelir</t>
        </is>
      </c>
      <c r="F19" s="10" t="n">
        <v>32000</v>
      </c>
      <c r="G19">
        <f>TEXT(A19,"YYYY-MM")</f>
        <v/>
      </c>
    </row>
    <row r="20">
      <c r="A20" s="13" t="n">
        <v>46175</v>
      </c>
      <c r="B20" t="inlineStr">
        <is>
          <t>Garanti</t>
        </is>
      </c>
      <c r="C20" t="inlineStr">
        <is>
          <t>Sağlık harcaması</t>
        </is>
      </c>
      <c r="D20" t="inlineStr">
        <is>
          <t>Sağlık</t>
        </is>
      </c>
      <c r="E20" t="inlineStr">
        <is>
          <t>Gider</t>
        </is>
      </c>
      <c r="F20" s="10" t="n">
        <v>563</v>
      </c>
      <c r="G20">
        <f>TEXT(A20,"YYYY-MM")</f>
        <v/>
      </c>
    </row>
    <row r="21">
      <c r="A21" s="13" t="n">
        <v>46176</v>
      </c>
      <c r="B21" t="inlineStr">
        <is>
          <t>Ziraat</t>
        </is>
      </c>
      <c r="C21" t="inlineStr">
        <is>
          <t>Kira</t>
        </is>
      </c>
      <c r="D21" t="inlineStr">
        <is>
          <t>Kira</t>
        </is>
      </c>
      <c r="E21" t="inlineStr">
        <is>
          <t>Gider</t>
        </is>
      </c>
      <c r="F21" s="10" t="n">
        <v>12500</v>
      </c>
      <c r="G21">
        <f>TEXT(A21,"YYYY-MM")</f>
        <v/>
      </c>
    </row>
    <row r="22">
      <c r="A22" s="13" t="n">
        <v>46177</v>
      </c>
      <c r="B22" t="inlineStr">
        <is>
          <t>Nakit</t>
        </is>
      </c>
      <c r="C22" t="inlineStr">
        <is>
          <t>Eğlence harcaması</t>
        </is>
      </c>
      <c r="D22" t="inlineStr">
        <is>
          <t>Eğlence</t>
        </is>
      </c>
      <c r="E22" t="inlineStr">
        <is>
          <t>Gider</t>
        </is>
      </c>
      <c r="F22" s="10" t="n">
        <v>764</v>
      </c>
      <c r="G22">
        <f>TEXT(A22,"YYYY-MM")</f>
        <v/>
      </c>
    </row>
    <row r="23">
      <c r="A23" s="13" t="n">
        <v>46180</v>
      </c>
      <c r="B23" t="inlineStr">
        <is>
          <t>Garanti</t>
        </is>
      </c>
      <c r="C23" t="inlineStr">
        <is>
          <t>Abonelik harcaması</t>
        </is>
      </c>
      <c r="D23" t="inlineStr">
        <is>
          <t>Abonelik</t>
        </is>
      </c>
      <c r="E23" t="inlineStr">
        <is>
          <t>Gider</t>
        </is>
      </c>
      <c r="F23" s="10" t="n">
        <v>98</v>
      </c>
      <c r="G23">
        <f>TEXT(A23,"YYYY-MM")</f>
        <v/>
      </c>
    </row>
    <row r="24">
      <c r="A24" s="13" t="n">
        <v>46183</v>
      </c>
      <c r="B24" t="inlineStr">
        <is>
          <t>Garanti</t>
        </is>
      </c>
      <c r="C24" t="inlineStr">
        <is>
          <t>Market harcaması</t>
        </is>
      </c>
      <c r="D24" t="inlineStr">
        <is>
          <t>Market</t>
        </is>
      </c>
      <c r="E24" t="inlineStr">
        <is>
          <t>Gider</t>
        </is>
      </c>
      <c r="F24" s="10" t="n">
        <v>383</v>
      </c>
      <c r="G24">
        <f>TEXT(A24,"YYYY-MM")</f>
        <v/>
      </c>
    </row>
    <row r="25">
      <c r="A25" s="13" t="n">
        <v>46184</v>
      </c>
      <c r="B25" t="inlineStr">
        <is>
          <t>Nakit</t>
        </is>
      </c>
      <c r="C25" t="inlineStr">
        <is>
          <t>Diğer harcaması</t>
        </is>
      </c>
      <c r="D25" t="inlineStr">
        <is>
          <t>Diğer</t>
        </is>
      </c>
      <c r="E25" t="inlineStr">
        <is>
          <t>Gider</t>
        </is>
      </c>
      <c r="F25" s="10" t="n">
        <v>495</v>
      </c>
      <c r="G25">
        <f>TEXT(A25,"YYYY-MM")</f>
        <v/>
      </c>
    </row>
    <row r="26">
      <c r="A26" s="13" t="n">
        <v>46184</v>
      </c>
      <c r="B26" t="inlineStr">
        <is>
          <t>Ziraat</t>
        </is>
      </c>
      <c r="C26" t="inlineStr">
        <is>
          <t>Sağlık harcaması</t>
        </is>
      </c>
      <c r="D26" t="inlineStr">
        <is>
          <t>Sağlık</t>
        </is>
      </c>
      <c r="E26" t="inlineStr">
        <is>
          <t>Gider</t>
        </is>
      </c>
      <c r="F26" s="10" t="n">
        <v>384</v>
      </c>
      <c r="G26">
        <f>TEXT(A26,"YYYY-MM")</f>
        <v/>
      </c>
    </row>
    <row r="27">
      <c r="A27" s="13" t="n">
        <v>46185</v>
      </c>
      <c r="B27" t="inlineStr">
        <is>
          <t>Nakit</t>
        </is>
      </c>
      <c r="C27" t="inlineStr">
        <is>
          <t>Diğer harcaması</t>
        </is>
      </c>
      <c r="D27" t="inlineStr">
        <is>
          <t>Diğer</t>
        </is>
      </c>
      <c r="E27" t="inlineStr">
        <is>
          <t>Gider</t>
        </is>
      </c>
      <c r="F27" s="10" t="n">
        <v>559</v>
      </c>
      <c r="G27">
        <f>TEXT(A27,"YYYY-MM")</f>
        <v/>
      </c>
    </row>
    <row r="28">
      <c r="A28" s="13" t="n">
        <v>46188</v>
      </c>
      <c r="B28" t="inlineStr">
        <is>
          <t>Garanti</t>
        </is>
      </c>
      <c r="C28" t="inlineStr">
        <is>
          <t>Serbest iş ödemesi</t>
        </is>
      </c>
      <c r="D28" t="inlineStr">
        <is>
          <t>Serbest iş</t>
        </is>
      </c>
      <c r="E28" t="inlineStr">
        <is>
          <t>Gelir</t>
        </is>
      </c>
      <c r="F28" s="10" t="n">
        <v>7400</v>
      </c>
      <c r="G28">
        <f>TEXT(A28,"YYYY-MM")</f>
        <v/>
      </c>
    </row>
    <row r="29">
      <c r="A29" s="13" t="n">
        <v>46188</v>
      </c>
      <c r="B29" t="inlineStr">
        <is>
          <t>Ziraat</t>
        </is>
      </c>
      <c r="C29" t="inlineStr">
        <is>
          <t>Diğer harcaması</t>
        </is>
      </c>
      <c r="D29" t="inlineStr">
        <is>
          <t>Diğer</t>
        </is>
      </c>
      <c r="E29" t="inlineStr">
        <is>
          <t>Gider</t>
        </is>
      </c>
      <c r="F29" s="10" t="n">
        <v>784</v>
      </c>
      <c r="G29">
        <f>TEXT(A29,"YYYY-MM")</f>
        <v/>
      </c>
    </row>
    <row r="30">
      <c r="A30" s="13" t="n">
        <v>46193</v>
      </c>
      <c r="B30" t="inlineStr">
        <is>
          <t>Garanti</t>
        </is>
      </c>
      <c r="C30" t="inlineStr">
        <is>
          <t>Diğer harcaması</t>
        </is>
      </c>
      <c r="D30" t="inlineStr">
        <is>
          <t>Diğer</t>
        </is>
      </c>
      <c r="E30" t="inlineStr">
        <is>
          <t>Gider</t>
        </is>
      </c>
      <c r="F30" s="10" t="n">
        <v>170</v>
      </c>
      <c r="G30">
        <f>TEXT(A30,"YYYY-MM")</f>
        <v/>
      </c>
    </row>
    <row r="31">
      <c r="A31" s="13" t="n">
        <v>46194</v>
      </c>
      <c r="B31" t="inlineStr">
        <is>
          <t>Ziraat</t>
        </is>
      </c>
      <c r="C31" t="inlineStr">
        <is>
          <t>Fatura harcaması</t>
        </is>
      </c>
      <c r="D31" t="inlineStr">
        <is>
          <t>Fatura</t>
        </is>
      </c>
      <c r="E31" t="inlineStr">
        <is>
          <t>Gider</t>
        </is>
      </c>
      <c r="F31" s="10" t="n">
        <v>420</v>
      </c>
      <c r="G31">
        <f>TEXT(A31,"YYYY-MM")</f>
        <v/>
      </c>
    </row>
    <row r="32">
      <c r="A32" s="13" t="n">
        <v>46194</v>
      </c>
      <c r="B32" t="inlineStr">
        <is>
          <t>Ziraat</t>
        </is>
      </c>
      <c r="C32" t="inlineStr">
        <is>
          <t>Ulaşım harcaması</t>
        </is>
      </c>
      <c r="D32" t="inlineStr">
        <is>
          <t>Ulaşım</t>
        </is>
      </c>
      <c r="E32" t="inlineStr">
        <is>
          <t>Gider</t>
        </is>
      </c>
      <c r="F32" s="10" t="n">
        <v>585</v>
      </c>
      <c r="G32">
        <f>TEXT(A32,"YYYY-MM")</f>
        <v/>
      </c>
    </row>
    <row r="33">
      <c r="A33" s="13" t="n">
        <v>46197</v>
      </c>
      <c r="B33" t="inlineStr">
        <is>
          <t>Garanti</t>
        </is>
      </c>
      <c r="C33" t="inlineStr">
        <is>
          <t>Sağlık harcaması</t>
        </is>
      </c>
      <c r="D33" t="inlineStr">
        <is>
          <t>Sağlık</t>
        </is>
      </c>
      <c r="E33" t="inlineStr">
        <is>
          <t>Gider</t>
        </is>
      </c>
      <c r="F33" s="10" t="n">
        <v>808</v>
      </c>
      <c r="G33">
        <f>TEXT(A33,"YYYY-MM")</f>
        <v/>
      </c>
    </row>
    <row r="34">
      <c r="A34" s="13" t="n">
        <v>46198</v>
      </c>
      <c r="B34" t="inlineStr">
        <is>
          <t>Nakit</t>
        </is>
      </c>
      <c r="C34" t="inlineStr">
        <is>
          <t>Market harcaması</t>
        </is>
      </c>
      <c r="D34" t="inlineStr">
        <is>
          <t>Market</t>
        </is>
      </c>
      <c r="E34" t="inlineStr">
        <is>
          <t>Gider</t>
        </is>
      </c>
      <c r="F34" s="10" t="n">
        <v>884</v>
      </c>
      <c r="G34">
        <f>TEXT(A34,"YYYY-MM")</f>
        <v/>
      </c>
    </row>
    <row r="35">
      <c r="A35" s="13" t="n">
        <v>46199</v>
      </c>
      <c r="B35" t="inlineStr">
        <is>
          <t>Nakit</t>
        </is>
      </c>
      <c r="C35" t="inlineStr">
        <is>
          <t>Market harcaması</t>
        </is>
      </c>
      <c r="D35" t="inlineStr">
        <is>
          <t>Market</t>
        </is>
      </c>
      <c r="E35" t="inlineStr">
        <is>
          <t>Gider</t>
        </is>
      </c>
      <c r="F35" s="10" t="n">
        <v>892</v>
      </c>
      <c r="G35">
        <f>TEXT(A35,"YYYY-MM")</f>
        <v/>
      </c>
    </row>
    <row r="36">
      <c r="A36" s="13" t="n">
        <v>46204</v>
      </c>
      <c r="B36" t="inlineStr">
        <is>
          <t>Ziraat</t>
        </is>
      </c>
      <c r="C36" t="inlineStr">
        <is>
          <t>Maaş yatışı</t>
        </is>
      </c>
      <c r="D36" t="inlineStr">
        <is>
          <t>Maaş</t>
        </is>
      </c>
      <c r="E36" t="inlineStr">
        <is>
          <t>Gelir</t>
        </is>
      </c>
      <c r="F36" s="10" t="n">
        <v>32000</v>
      </c>
      <c r="G36">
        <f>TEXT(A36,"YYYY-MM")</f>
        <v/>
      </c>
    </row>
    <row r="37">
      <c r="A37" s="13" t="n">
        <v>46206</v>
      </c>
      <c r="B37" t="inlineStr">
        <is>
          <t>Ziraat</t>
        </is>
      </c>
      <c r="C37" t="inlineStr">
        <is>
          <t>Kira</t>
        </is>
      </c>
      <c r="D37" t="inlineStr">
        <is>
          <t>Kira</t>
        </is>
      </c>
      <c r="E37" t="inlineStr">
        <is>
          <t>Gider</t>
        </is>
      </c>
      <c r="F37" s="10" t="n">
        <v>12500</v>
      </c>
      <c r="G37">
        <f>TEXT(A37,"YYYY-MM")</f>
        <v/>
      </c>
    </row>
    <row r="38">
      <c r="A38" s="13" t="n">
        <v>46209</v>
      </c>
      <c r="B38" t="inlineStr">
        <is>
          <t>Garanti</t>
        </is>
      </c>
      <c r="C38" t="inlineStr">
        <is>
          <t>Fatura harcaması</t>
        </is>
      </c>
      <c r="D38" t="inlineStr">
        <is>
          <t>Fatura</t>
        </is>
      </c>
      <c r="E38" t="inlineStr">
        <is>
          <t>Gider</t>
        </is>
      </c>
      <c r="F38" s="10" t="n">
        <v>863</v>
      </c>
      <c r="G38">
        <f>TEXT(A38,"YYYY-MM")</f>
        <v/>
      </c>
    </row>
    <row r="39">
      <c r="A39" s="13" t="n">
        <v>46209</v>
      </c>
      <c r="B39" t="inlineStr">
        <is>
          <t>Nakit</t>
        </is>
      </c>
      <c r="C39" t="inlineStr">
        <is>
          <t>Sağlık harcaması</t>
        </is>
      </c>
      <c r="D39" t="inlineStr">
        <is>
          <t>Sağlık</t>
        </is>
      </c>
      <c r="E39" t="inlineStr">
        <is>
          <t>Gider</t>
        </is>
      </c>
      <c r="F39" s="10" t="n">
        <v>727</v>
      </c>
      <c r="G39">
        <f>TEXT(A39,"YYYY-MM")</f>
        <v/>
      </c>
    </row>
    <row r="40">
      <c r="A40" s="13" t="n">
        <v>46209</v>
      </c>
      <c r="B40" t="inlineStr">
        <is>
          <t>Ziraat</t>
        </is>
      </c>
      <c r="C40" t="inlineStr">
        <is>
          <t>Ulaşım harcaması</t>
        </is>
      </c>
      <c r="D40" t="inlineStr">
        <is>
          <t>Ulaşım</t>
        </is>
      </c>
      <c r="E40" t="inlineStr">
        <is>
          <t>Gider</t>
        </is>
      </c>
      <c r="F40" s="10" t="n">
        <v>318</v>
      </c>
      <c r="G40">
        <f>TEXT(A40,"YYYY-MM")</f>
        <v/>
      </c>
    </row>
    <row r="41">
      <c r="A41" s="13" t="n">
        <v>46210</v>
      </c>
      <c r="B41" t="inlineStr">
        <is>
          <t>Garanti</t>
        </is>
      </c>
      <c r="C41" t="inlineStr">
        <is>
          <t>Market harcaması</t>
        </is>
      </c>
      <c r="D41" t="inlineStr">
        <is>
          <t>Market</t>
        </is>
      </c>
      <c r="E41" t="inlineStr">
        <is>
          <t>Gider</t>
        </is>
      </c>
      <c r="F41" s="10" t="n">
        <v>1072</v>
      </c>
      <c r="G41">
        <f>TEXT(A41,"YYYY-MM")</f>
        <v/>
      </c>
    </row>
    <row r="42">
      <c r="A42" s="13" t="n">
        <v>46212</v>
      </c>
      <c r="B42" t="inlineStr">
        <is>
          <t>Ziraat</t>
        </is>
      </c>
      <c r="C42" t="inlineStr">
        <is>
          <t>Abonelik harcaması</t>
        </is>
      </c>
      <c r="D42" t="inlineStr">
        <is>
          <t>Abonelik</t>
        </is>
      </c>
      <c r="E42" t="inlineStr">
        <is>
          <t>Gider</t>
        </is>
      </c>
      <c r="F42" s="10" t="n">
        <v>81</v>
      </c>
      <c r="G42">
        <f>TEXT(A42,"YYYY-MM")</f>
        <v/>
      </c>
    </row>
    <row r="43">
      <c r="A43" s="13" t="n">
        <v>46214</v>
      </c>
      <c r="B43" t="inlineStr">
        <is>
          <t>Ziraat</t>
        </is>
      </c>
      <c r="C43" t="inlineStr">
        <is>
          <t>Fatura harcaması</t>
        </is>
      </c>
      <c r="D43" t="inlineStr">
        <is>
          <t>Fatura</t>
        </is>
      </c>
      <c r="E43" t="inlineStr">
        <is>
          <t>Gider</t>
        </is>
      </c>
      <c r="F43" s="10" t="n">
        <v>449</v>
      </c>
      <c r="G43">
        <f>TEXT(A43,"YYYY-MM")</f>
        <v/>
      </c>
    </row>
    <row r="44">
      <c r="A44" s="13" t="n">
        <v>46217</v>
      </c>
      <c r="B44" t="inlineStr">
        <is>
          <t>Garanti</t>
        </is>
      </c>
      <c r="C44" t="inlineStr">
        <is>
          <t>Abonelik harcaması</t>
        </is>
      </c>
      <c r="D44" t="inlineStr">
        <is>
          <t>Abonelik</t>
        </is>
      </c>
      <c r="E44" t="inlineStr">
        <is>
          <t>Gider</t>
        </is>
      </c>
      <c r="F44" s="10" t="n">
        <v>160</v>
      </c>
      <c r="G44">
        <f>TEXT(A44,"YYYY-MM")</f>
        <v/>
      </c>
    </row>
    <row r="45">
      <c r="A45" s="13" t="n">
        <v>46217</v>
      </c>
      <c r="B45" t="inlineStr">
        <is>
          <t>Garanti</t>
        </is>
      </c>
      <c r="C45" t="inlineStr">
        <is>
          <t>Eğlence harcaması</t>
        </is>
      </c>
      <c r="D45" t="inlineStr">
        <is>
          <t>Eğlence</t>
        </is>
      </c>
      <c r="E45" t="inlineStr">
        <is>
          <t>Gider</t>
        </is>
      </c>
      <c r="F45" s="10" t="n">
        <v>1166</v>
      </c>
      <c r="G45">
        <f>TEXT(A45,"YYYY-MM")</f>
        <v/>
      </c>
    </row>
    <row r="46">
      <c r="A46" s="13" t="n">
        <v>46218</v>
      </c>
      <c r="B46" t="inlineStr">
        <is>
          <t>Garanti</t>
        </is>
      </c>
      <c r="C46" t="inlineStr">
        <is>
          <t>Serbest iş ödemesi</t>
        </is>
      </c>
      <c r="D46" t="inlineStr">
        <is>
          <t>Serbest iş</t>
        </is>
      </c>
      <c r="E46" t="inlineStr">
        <is>
          <t>Gelir</t>
        </is>
      </c>
      <c r="F46" s="10" t="n">
        <v>4500</v>
      </c>
      <c r="G46">
        <f>TEXT(A46,"YYYY-MM")</f>
        <v/>
      </c>
    </row>
    <row r="47">
      <c r="A47" s="13" t="n">
        <v>46219</v>
      </c>
      <c r="B47" t="inlineStr">
        <is>
          <t>Nakit</t>
        </is>
      </c>
      <c r="C47" t="inlineStr">
        <is>
          <t>Market harcaması</t>
        </is>
      </c>
      <c r="D47" t="inlineStr">
        <is>
          <t>Market</t>
        </is>
      </c>
      <c r="E47" t="inlineStr">
        <is>
          <t>Gider</t>
        </is>
      </c>
      <c r="F47" s="10" t="n">
        <v>1395</v>
      </c>
      <c r="G47">
        <f>TEXT(A47,"YYYY-MM")</f>
        <v/>
      </c>
    </row>
    <row r="48">
      <c r="A48" s="13" t="n">
        <v>46220</v>
      </c>
      <c r="B48" t="inlineStr">
        <is>
          <t>Nakit</t>
        </is>
      </c>
      <c r="C48" t="inlineStr">
        <is>
          <t>Market harcaması</t>
        </is>
      </c>
      <c r="D48" t="inlineStr">
        <is>
          <t>Market</t>
        </is>
      </c>
      <c r="E48" t="inlineStr">
        <is>
          <t>Gider</t>
        </is>
      </c>
      <c r="F48" s="10" t="n">
        <v>623</v>
      </c>
      <c r="G48">
        <f>TEXT(A48,"YYYY-MM")</f>
        <v/>
      </c>
    </row>
    <row r="49">
      <c r="A49" s="13" t="n">
        <v>46220</v>
      </c>
      <c r="B49" t="inlineStr">
        <is>
          <t>Nakit</t>
        </is>
      </c>
      <c r="C49" t="inlineStr">
        <is>
          <t>Market harcaması</t>
        </is>
      </c>
      <c r="D49" t="inlineStr">
        <is>
          <t>Market</t>
        </is>
      </c>
      <c r="E49" t="inlineStr">
        <is>
          <t>Gider</t>
        </is>
      </c>
      <c r="F49" s="10" t="n">
        <v>1070</v>
      </c>
      <c r="G49">
        <f>TEXT(A49,"YYYY-MM")</f>
        <v/>
      </c>
    </row>
    <row r="50">
      <c r="A50" s="13" t="n">
        <v>46222</v>
      </c>
      <c r="B50" t="inlineStr">
        <is>
          <t>Garanti</t>
        </is>
      </c>
      <c r="C50" t="inlineStr">
        <is>
          <t>Abonelik harcaması</t>
        </is>
      </c>
      <c r="D50" t="inlineStr">
        <is>
          <t>Abonelik</t>
        </is>
      </c>
      <c r="E50" t="inlineStr">
        <is>
          <t>Gider</t>
        </is>
      </c>
      <c r="F50" s="10" t="n">
        <v>216</v>
      </c>
      <c r="G50">
        <f>TEXT(A50,"YYYY-MM")</f>
        <v/>
      </c>
    </row>
    <row r="51">
      <c r="A51" s="13" t="n">
        <v>46227</v>
      </c>
      <c r="B51" t="inlineStr">
        <is>
          <t>Garanti</t>
        </is>
      </c>
      <c r="C51" t="inlineStr">
        <is>
          <t>Fatura harcaması</t>
        </is>
      </c>
      <c r="D51" t="inlineStr">
        <is>
          <t>Fatura</t>
        </is>
      </c>
      <c r="E51" t="inlineStr">
        <is>
          <t>Gider</t>
        </is>
      </c>
      <c r="F51" s="10" t="n">
        <v>667</v>
      </c>
      <c r="G51">
        <f>TEXT(A51,"YYYY-MM")</f>
        <v/>
      </c>
    </row>
    <row r="52">
      <c r="A52" s="13" t="n">
        <v>46229</v>
      </c>
      <c r="B52" t="inlineStr">
        <is>
          <t>Garanti</t>
        </is>
      </c>
      <c r="C52" t="inlineStr">
        <is>
          <t>Eğlence harcaması</t>
        </is>
      </c>
      <c r="D52" t="inlineStr">
        <is>
          <t>Eğlence</t>
        </is>
      </c>
      <c r="E52" t="inlineStr">
        <is>
          <t>Gider</t>
        </is>
      </c>
      <c r="F52" s="10" t="n">
        <v>414</v>
      </c>
      <c r="G52">
        <f>TEXT(A52,"YYYY-MM")</f>
        <v/>
      </c>
    </row>
    <row r="53">
      <c r="A53" s="13" t="n">
        <v>46235</v>
      </c>
      <c r="B53" t="inlineStr">
        <is>
          <t>Ziraat</t>
        </is>
      </c>
      <c r="C53" t="inlineStr">
        <is>
          <t>Maaş yatışı</t>
        </is>
      </c>
      <c r="D53" t="inlineStr">
        <is>
          <t>Maaş</t>
        </is>
      </c>
      <c r="E53" t="inlineStr">
        <is>
          <t>Gelir</t>
        </is>
      </c>
      <c r="F53" s="10" t="n">
        <v>32000</v>
      </c>
      <c r="G53">
        <f>TEXT(A53,"YYYY-MM")</f>
        <v/>
      </c>
    </row>
    <row r="54">
      <c r="A54" s="13" t="n">
        <v>46236</v>
      </c>
      <c r="B54" t="inlineStr">
        <is>
          <t>Nakit</t>
        </is>
      </c>
      <c r="C54" t="inlineStr">
        <is>
          <t>Market harcaması</t>
        </is>
      </c>
      <c r="D54" t="inlineStr">
        <is>
          <t>Market</t>
        </is>
      </c>
      <c r="E54" t="inlineStr">
        <is>
          <t>Gider</t>
        </is>
      </c>
      <c r="F54" s="10" t="n">
        <v>559</v>
      </c>
      <c r="G54">
        <f>TEXT(A54,"YYYY-MM")</f>
        <v/>
      </c>
    </row>
    <row r="55">
      <c r="A55" s="13" t="n">
        <v>46237</v>
      </c>
      <c r="B55" t="inlineStr">
        <is>
          <t>Ziraat</t>
        </is>
      </c>
      <c r="C55" t="inlineStr">
        <is>
          <t>Kira</t>
        </is>
      </c>
      <c r="D55" t="inlineStr">
        <is>
          <t>Kira</t>
        </is>
      </c>
      <c r="E55" t="inlineStr">
        <is>
          <t>Gider</t>
        </is>
      </c>
      <c r="F55" s="10" t="n">
        <v>12500</v>
      </c>
      <c r="G55">
        <f>TEXT(A55,"YYYY-MM")</f>
        <v/>
      </c>
    </row>
    <row r="56">
      <c r="A56" s="13" t="n">
        <v>46238</v>
      </c>
      <c r="B56" t="inlineStr">
        <is>
          <t>Ziraat</t>
        </is>
      </c>
      <c r="C56" t="inlineStr">
        <is>
          <t>Eğlence harcaması</t>
        </is>
      </c>
      <c r="D56" t="inlineStr">
        <is>
          <t>Eğlence</t>
        </is>
      </c>
      <c r="E56" t="inlineStr">
        <is>
          <t>Gider</t>
        </is>
      </c>
      <c r="F56" s="10" t="n">
        <v>1052</v>
      </c>
      <c r="G56">
        <f>TEXT(A56,"YYYY-MM")</f>
        <v/>
      </c>
    </row>
    <row r="57">
      <c r="A57" s="13" t="n">
        <v>46238</v>
      </c>
      <c r="B57" t="inlineStr">
        <is>
          <t>Ziraat</t>
        </is>
      </c>
      <c r="C57" t="inlineStr">
        <is>
          <t>Fatura harcaması</t>
        </is>
      </c>
      <c r="D57" t="inlineStr">
        <is>
          <t>Fatura</t>
        </is>
      </c>
      <c r="E57" t="inlineStr">
        <is>
          <t>Gider</t>
        </is>
      </c>
      <c r="F57" s="10" t="n">
        <v>404</v>
      </c>
      <c r="G57">
        <f>TEXT(A57,"YYYY-MM")</f>
        <v/>
      </c>
    </row>
    <row r="58">
      <c r="A58" s="13" t="n">
        <v>46239</v>
      </c>
      <c r="B58" t="inlineStr">
        <is>
          <t>Garanti</t>
        </is>
      </c>
      <c r="C58" t="inlineStr">
        <is>
          <t>Ulaşım harcaması</t>
        </is>
      </c>
      <c r="D58" t="inlineStr">
        <is>
          <t>Ulaşım</t>
        </is>
      </c>
      <c r="E58" t="inlineStr">
        <is>
          <t>Gider</t>
        </is>
      </c>
      <c r="F58" s="10" t="n">
        <v>133</v>
      </c>
      <c r="G58">
        <f>TEXT(A58,"YYYY-MM")</f>
        <v/>
      </c>
    </row>
    <row r="59">
      <c r="A59" s="13" t="n">
        <v>46240</v>
      </c>
      <c r="B59" t="inlineStr">
        <is>
          <t>Nakit</t>
        </is>
      </c>
      <c r="C59" t="inlineStr">
        <is>
          <t>Sağlık harcaması</t>
        </is>
      </c>
      <c r="D59" t="inlineStr">
        <is>
          <t>Sağlık</t>
        </is>
      </c>
      <c r="E59" t="inlineStr">
        <is>
          <t>Gider</t>
        </is>
      </c>
      <c r="F59" s="10" t="n">
        <v>756</v>
      </c>
      <c r="G59">
        <f>TEXT(A59,"YYYY-MM")</f>
        <v/>
      </c>
    </row>
    <row r="60">
      <c r="A60" s="13" t="n">
        <v>46242</v>
      </c>
      <c r="B60" t="inlineStr">
        <is>
          <t>Nakit</t>
        </is>
      </c>
      <c r="C60" t="inlineStr">
        <is>
          <t>Market harcaması</t>
        </is>
      </c>
      <c r="D60" t="inlineStr">
        <is>
          <t>Market</t>
        </is>
      </c>
      <c r="E60" t="inlineStr">
        <is>
          <t>Gider</t>
        </is>
      </c>
      <c r="F60" s="10" t="n">
        <v>1020</v>
      </c>
      <c r="G60">
        <f>TEXT(A60,"YYYY-MM")</f>
        <v/>
      </c>
    </row>
    <row r="61">
      <c r="A61" s="13" t="n">
        <v>46247</v>
      </c>
      <c r="B61" t="inlineStr">
        <is>
          <t>Nakit</t>
        </is>
      </c>
      <c r="C61" t="inlineStr">
        <is>
          <t>Market harcaması</t>
        </is>
      </c>
      <c r="D61" t="inlineStr">
        <is>
          <t>Market</t>
        </is>
      </c>
      <c r="E61" t="inlineStr">
        <is>
          <t>Gider</t>
        </is>
      </c>
      <c r="F61" s="10" t="n">
        <v>302</v>
      </c>
      <c r="G61">
        <f>TEXT(A61,"YYYY-MM")</f>
        <v/>
      </c>
    </row>
    <row r="62">
      <c r="A62" s="13" t="n">
        <v>46249</v>
      </c>
      <c r="B62" t="inlineStr">
        <is>
          <t>Garanti</t>
        </is>
      </c>
      <c r="C62" t="inlineStr">
        <is>
          <t>Serbest iş ödemesi</t>
        </is>
      </c>
      <c r="D62" t="inlineStr">
        <is>
          <t>Serbest iş</t>
        </is>
      </c>
      <c r="E62" t="inlineStr">
        <is>
          <t>Gelir</t>
        </is>
      </c>
      <c r="F62" s="10" t="n">
        <v>4500</v>
      </c>
      <c r="G62">
        <f>TEXT(A62,"YYYY-MM")</f>
        <v/>
      </c>
    </row>
    <row r="63">
      <c r="A63" s="13" t="n">
        <v>46250</v>
      </c>
      <c r="B63" t="inlineStr">
        <is>
          <t>Garanti</t>
        </is>
      </c>
      <c r="C63" t="inlineStr">
        <is>
          <t>Diğer harcaması</t>
        </is>
      </c>
      <c r="D63" t="inlineStr">
        <is>
          <t>Diğer</t>
        </is>
      </c>
      <c r="E63" t="inlineStr">
        <is>
          <t>Gider</t>
        </is>
      </c>
      <c r="F63" s="10" t="n">
        <v>595</v>
      </c>
      <c r="G63">
        <f>TEXT(A63,"YYYY-MM")</f>
        <v/>
      </c>
    </row>
    <row r="64">
      <c r="A64" s="13" t="n">
        <v>46251</v>
      </c>
      <c r="B64" t="inlineStr">
        <is>
          <t>Ziraat</t>
        </is>
      </c>
      <c r="C64" t="inlineStr">
        <is>
          <t>Sağlık harcaması</t>
        </is>
      </c>
      <c r="D64" t="inlineStr">
        <is>
          <t>Sağlık</t>
        </is>
      </c>
      <c r="E64" t="inlineStr">
        <is>
          <t>Gider</t>
        </is>
      </c>
      <c r="F64" s="10" t="n">
        <v>318</v>
      </c>
      <c r="G64">
        <f>TEXT(A64,"YYYY-MM")</f>
        <v/>
      </c>
    </row>
    <row r="65">
      <c r="A65" s="13" t="n">
        <v>46252</v>
      </c>
      <c r="B65" t="inlineStr">
        <is>
          <t>Ziraat</t>
        </is>
      </c>
      <c r="C65" t="inlineStr">
        <is>
          <t>Ulaşım harcaması</t>
        </is>
      </c>
      <c r="D65" t="inlineStr">
        <is>
          <t>Ulaşım</t>
        </is>
      </c>
      <c r="E65" t="inlineStr">
        <is>
          <t>Gider</t>
        </is>
      </c>
      <c r="F65" s="10" t="n">
        <v>290</v>
      </c>
      <c r="G65">
        <f>TEXT(A65,"YYYY-MM")</f>
        <v/>
      </c>
    </row>
    <row r="66">
      <c r="A66" s="13" t="n">
        <v>46256</v>
      </c>
      <c r="B66" t="inlineStr">
        <is>
          <t>Garanti</t>
        </is>
      </c>
      <c r="C66" t="inlineStr">
        <is>
          <t>Ulaşım harcaması</t>
        </is>
      </c>
      <c r="D66" t="inlineStr">
        <is>
          <t>Ulaşım</t>
        </is>
      </c>
      <c r="E66" t="inlineStr">
        <is>
          <t>Gider</t>
        </is>
      </c>
      <c r="F66" s="10" t="n">
        <v>435</v>
      </c>
      <c r="G66">
        <f>TEXT(A66,"YYYY-MM")</f>
        <v/>
      </c>
    </row>
    <row r="67">
      <c r="A67" s="13" t="n">
        <v>46258</v>
      </c>
      <c r="B67" t="inlineStr">
        <is>
          <t>Garanti</t>
        </is>
      </c>
      <c r="C67" t="inlineStr">
        <is>
          <t>Market harcaması</t>
        </is>
      </c>
      <c r="D67" t="inlineStr">
        <is>
          <t>Market</t>
        </is>
      </c>
      <c r="E67" t="inlineStr">
        <is>
          <t>Gider</t>
        </is>
      </c>
      <c r="F67" s="10" t="n">
        <v>1311</v>
      </c>
      <c r="G67">
        <f>TEXT(A67,"YYYY-MM")</f>
        <v/>
      </c>
    </row>
    <row r="68">
      <c r="A68" s="13" t="n">
        <v>46259</v>
      </c>
      <c r="B68" t="inlineStr">
        <is>
          <t>Garanti</t>
        </is>
      </c>
      <c r="C68" t="inlineStr">
        <is>
          <t>Sağlık harcaması</t>
        </is>
      </c>
      <c r="D68" t="inlineStr">
        <is>
          <t>Sağlık</t>
        </is>
      </c>
      <c r="E68" t="inlineStr">
        <is>
          <t>Gider</t>
        </is>
      </c>
      <c r="F68" s="10" t="n">
        <v>690</v>
      </c>
      <c r="G68">
        <f>TEXT(A68,"YYYY-MM")</f>
        <v/>
      </c>
    </row>
    <row r="69">
      <c r="A69" s="13" t="n">
        <v>46260</v>
      </c>
      <c r="B69" t="inlineStr">
        <is>
          <t>Nakit</t>
        </is>
      </c>
      <c r="C69" t="inlineStr">
        <is>
          <t>Market harcaması</t>
        </is>
      </c>
      <c r="D69" t="inlineStr">
        <is>
          <t>Market</t>
        </is>
      </c>
      <c r="E69" t="inlineStr">
        <is>
          <t>Gider</t>
        </is>
      </c>
      <c r="F69" s="10" t="n">
        <v>860</v>
      </c>
      <c r="G69">
        <f>TEXT(A69,"YYYY-MM")</f>
        <v/>
      </c>
    </row>
    <row r="70">
      <c r="A70" s="13" t="n">
        <v>46266</v>
      </c>
      <c r="B70" t="inlineStr">
        <is>
          <t>Ziraat</t>
        </is>
      </c>
      <c r="C70" t="inlineStr">
        <is>
          <t>Maaş yatışı</t>
        </is>
      </c>
      <c r="D70" t="inlineStr">
        <is>
          <t>Maaş</t>
        </is>
      </c>
      <c r="E70" t="inlineStr">
        <is>
          <t>Gelir</t>
        </is>
      </c>
      <c r="F70" s="10" t="n">
        <v>32000</v>
      </c>
      <c r="G70">
        <f>TEXT(A70,"YYYY-MM")</f>
        <v/>
      </c>
    </row>
    <row r="71">
      <c r="A71" s="13" t="n">
        <v>46268</v>
      </c>
      <c r="B71" t="inlineStr">
        <is>
          <t>Ziraat</t>
        </is>
      </c>
      <c r="C71" t="inlineStr">
        <is>
          <t>Kira</t>
        </is>
      </c>
      <c r="D71" t="inlineStr">
        <is>
          <t>Kira</t>
        </is>
      </c>
      <c r="E71" t="inlineStr">
        <is>
          <t>Gider</t>
        </is>
      </c>
      <c r="F71" s="10" t="n">
        <v>12500</v>
      </c>
      <c r="G71">
        <f>TEXT(A71,"YYYY-MM")</f>
        <v/>
      </c>
    </row>
    <row r="72">
      <c r="A72" s="13" t="n">
        <v>46269</v>
      </c>
      <c r="B72" t="inlineStr">
        <is>
          <t>Ziraat</t>
        </is>
      </c>
      <c r="C72" t="inlineStr">
        <is>
          <t>Sağlık harcaması</t>
        </is>
      </c>
      <c r="D72" t="inlineStr">
        <is>
          <t>Sağlık</t>
        </is>
      </c>
      <c r="E72" t="inlineStr">
        <is>
          <t>Gider</t>
        </is>
      </c>
      <c r="F72" s="10" t="n">
        <v>304</v>
      </c>
      <c r="G72">
        <f>TEXT(A72,"YYYY-MM")</f>
        <v/>
      </c>
    </row>
    <row r="73">
      <c r="A73" s="13" t="n">
        <v>46273</v>
      </c>
      <c r="B73" t="inlineStr">
        <is>
          <t>Nakit</t>
        </is>
      </c>
      <c r="C73" t="inlineStr">
        <is>
          <t>Eğlence harcaması</t>
        </is>
      </c>
      <c r="D73" t="inlineStr">
        <is>
          <t>Eğlence</t>
        </is>
      </c>
      <c r="E73" t="inlineStr">
        <is>
          <t>Gider</t>
        </is>
      </c>
      <c r="F73" s="10" t="n">
        <v>1159</v>
      </c>
      <c r="G73">
        <f>TEXT(A73,"YYYY-MM")</f>
        <v/>
      </c>
    </row>
    <row r="74">
      <c r="A74" s="13" t="n">
        <v>46278</v>
      </c>
      <c r="B74" t="inlineStr">
        <is>
          <t>Ziraat</t>
        </is>
      </c>
      <c r="C74" t="inlineStr">
        <is>
          <t>Ulaşım harcaması</t>
        </is>
      </c>
      <c r="D74" t="inlineStr">
        <is>
          <t>Ulaşım</t>
        </is>
      </c>
      <c r="E74" t="inlineStr">
        <is>
          <t>Gider</t>
        </is>
      </c>
      <c r="F74" s="10" t="n">
        <v>594</v>
      </c>
      <c r="G74">
        <f>TEXT(A74,"YYYY-MM")</f>
        <v/>
      </c>
    </row>
    <row r="75">
      <c r="A75" s="13" t="n">
        <v>46280</v>
      </c>
      <c r="B75" t="inlineStr">
        <is>
          <t>Garanti</t>
        </is>
      </c>
      <c r="C75" t="inlineStr">
        <is>
          <t>Serbest iş ödemesi</t>
        </is>
      </c>
      <c r="D75" t="inlineStr">
        <is>
          <t>Serbest iş</t>
        </is>
      </c>
      <c r="E75" t="inlineStr">
        <is>
          <t>Gelir</t>
        </is>
      </c>
      <c r="F75" s="10" t="n">
        <v>3800</v>
      </c>
      <c r="G75">
        <f>TEXT(A75,"YYYY-MM")</f>
        <v/>
      </c>
    </row>
    <row r="76">
      <c r="A76" s="13" t="n">
        <v>46281</v>
      </c>
      <c r="B76" t="inlineStr">
        <is>
          <t>Nakit</t>
        </is>
      </c>
      <c r="C76" t="inlineStr">
        <is>
          <t>Sağlık harcaması</t>
        </is>
      </c>
      <c r="D76" t="inlineStr">
        <is>
          <t>Sağlık</t>
        </is>
      </c>
      <c r="E76" t="inlineStr">
        <is>
          <t>Gider</t>
        </is>
      </c>
      <c r="F76" s="10" t="n">
        <v>557</v>
      </c>
      <c r="G76">
        <f>TEXT(A76,"YYYY-MM")</f>
        <v/>
      </c>
    </row>
    <row r="77">
      <c r="A77" s="13" t="n">
        <v>46282</v>
      </c>
      <c r="B77" t="inlineStr">
        <is>
          <t>Garanti</t>
        </is>
      </c>
      <c r="C77" t="inlineStr">
        <is>
          <t>Fatura harcaması</t>
        </is>
      </c>
      <c r="D77" t="inlineStr">
        <is>
          <t>Fatura</t>
        </is>
      </c>
      <c r="E77" t="inlineStr">
        <is>
          <t>Gider</t>
        </is>
      </c>
      <c r="F77" s="10" t="n">
        <v>498</v>
      </c>
      <c r="G77">
        <f>TEXT(A77,"YYYY-MM")</f>
        <v/>
      </c>
    </row>
    <row r="78">
      <c r="A78" s="13" t="n">
        <v>46282</v>
      </c>
      <c r="B78" t="inlineStr">
        <is>
          <t>Nakit</t>
        </is>
      </c>
      <c r="C78" t="inlineStr">
        <is>
          <t>Eğlence harcaması</t>
        </is>
      </c>
      <c r="D78" t="inlineStr">
        <is>
          <t>Eğlence</t>
        </is>
      </c>
      <c r="E78" t="inlineStr">
        <is>
          <t>Gider</t>
        </is>
      </c>
      <c r="F78" s="10" t="n">
        <v>153</v>
      </c>
      <c r="G78">
        <f>TEXT(A78,"YYYY-MM")</f>
        <v/>
      </c>
    </row>
    <row r="79">
      <c r="A79" s="13" t="n">
        <v>46282</v>
      </c>
      <c r="B79" t="inlineStr">
        <is>
          <t>Ziraat</t>
        </is>
      </c>
      <c r="C79" t="inlineStr">
        <is>
          <t>Eğlence harcaması</t>
        </is>
      </c>
      <c r="D79" t="inlineStr">
        <is>
          <t>Eğlence</t>
        </is>
      </c>
      <c r="E79" t="inlineStr">
        <is>
          <t>Gider</t>
        </is>
      </c>
      <c r="F79" s="10" t="n">
        <v>841</v>
      </c>
      <c r="G79">
        <f>TEXT(A79,"YYYY-MM")</f>
        <v/>
      </c>
    </row>
    <row r="80">
      <c r="A80" s="13" t="n">
        <v>46282</v>
      </c>
      <c r="B80" t="inlineStr">
        <is>
          <t>Ziraat</t>
        </is>
      </c>
      <c r="C80" t="inlineStr">
        <is>
          <t>Eğlence harcaması</t>
        </is>
      </c>
      <c r="D80" t="inlineStr">
        <is>
          <t>Eğlence</t>
        </is>
      </c>
      <c r="E80" t="inlineStr">
        <is>
          <t>Gider</t>
        </is>
      </c>
      <c r="F80" s="10" t="n">
        <v>1038</v>
      </c>
      <c r="G80">
        <f>TEXT(A80,"YYYY-MM")</f>
        <v/>
      </c>
    </row>
    <row r="81">
      <c r="A81" s="13" t="n">
        <v>46287</v>
      </c>
      <c r="B81" t="inlineStr">
        <is>
          <t>Garanti</t>
        </is>
      </c>
      <c r="C81" t="inlineStr">
        <is>
          <t>Diğer harcaması</t>
        </is>
      </c>
      <c r="D81" t="inlineStr">
        <is>
          <t>Diğer</t>
        </is>
      </c>
      <c r="E81" t="inlineStr">
        <is>
          <t>Gider</t>
        </is>
      </c>
      <c r="F81" s="10" t="n">
        <v>758</v>
      </c>
      <c r="G81">
        <f>TEXT(A81,"YYYY-MM")</f>
        <v/>
      </c>
    </row>
    <row r="82">
      <c r="A82" s="13" t="n">
        <v>46287</v>
      </c>
      <c r="B82" t="inlineStr">
        <is>
          <t>Ziraat</t>
        </is>
      </c>
      <c r="C82" t="inlineStr">
        <is>
          <t>Sağlık harcaması</t>
        </is>
      </c>
      <c r="D82" t="inlineStr">
        <is>
          <t>Sağlık</t>
        </is>
      </c>
      <c r="E82" t="inlineStr">
        <is>
          <t>Gider</t>
        </is>
      </c>
      <c r="F82" s="10" t="n">
        <v>827</v>
      </c>
      <c r="G82">
        <f>TEXT(A82,"YYYY-MM")</f>
        <v/>
      </c>
    </row>
    <row r="83">
      <c r="A83" s="13" t="n">
        <v>46290</v>
      </c>
      <c r="B83" t="inlineStr">
        <is>
          <t>Ziraat</t>
        </is>
      </c>
      <c r="C83" t="inlineStr">
        <is>
          <t>Sağlık harcaması</t>
        </is>
      </c>
      <c r="D83" t="inlineStr">
        <is>
          <t>Sağlık</t>
        </is>
      </c>
      <c r="E83" t="inlineStr">
        <is>
          <t>Gider</t>
        </is>
      </c>
      <c r="F83" s="10" t="n">
        <v>228</v>
      </c>
      <c r="G83">
        <f>TEXT(A83,"YYYY-MM")</f>
        <v/>
      </c>
    </row>
    <row r="84">
      <c r="A84" s="13" t="n">
        <v>46292</v>
      </c>
      <c r="B84" t="inlineStr">
        <is>
          <t>Nakit</t>
        </is>
      </c>
      <c r="C84" t="inlineStr">
        <is>
          <t>Abonelik harcaması</t>
        </is>
      </c>
      <c r="D84" t="inlineStr">
        <is>
          <t>Abonelik</t>
        </is>
      </c>
      <c r="E84" t="inlineStr">
        <is>
          <t>Gider</t>
        </is>
      </c>
      <c r="F84" s="10" t="n">
        <v>252</v>
      </c>
      <c r="G84">
        <f>TEXT(A84,"YYYY-MM")</f>
        <v/>
      </c>
    </row>
    <row r="85">
      <c r="A85" s="13" t="n">
        <v>46292</v>
      </c>
      <c r="B85" t="inlineStr">
        <is>
          <t>Ziraat</t>
        </is>
      </c>
      <c r="C85" t="inlineStr">
        <is>
          <t>Eğlence harcaması</t>
        </is>
      </c>
      <c r="D85" t="inlineStr">
        <is>
          <t>Eğlence</t>
        </is>
      </c>
      <c r="E85" t="inlineStr">
        <is>
          <t>Gider</t>
        </is>
      </c>
      <c r="F85" s="10" t="n">
        <v>970</v>
      </c>
      <c r="G85">
        <f>TEXT(A85,"YYYY-MM")</f>
        <v/>
      </c>
    </row>
    <row r="86">
      <c r="A86" s="13" t="n">
        <v>46293</v>
      </c>
      <c r="B86" t="inlineStr">
        <is>
          <t>Nakit</t>
        </is>
      </c>
      <c r="C86" t="inlineStr">
        <is>
          <t>Market harcaması</t>
        </is>
      </c>
      <c r="D86" t="inlineStr">
        <is>
          <t>Market</t>
        </is>
      </c>
      <c r="E86" t="inlineStr">
        <is>
          <t>Gider</t>
        </is>
      </c>
      <c r="F86" s="10" t="n">
        <v>495</v>
      </c>
      <c r="G86">
        <f>TEXT(A86,"YYYY-MM")</f>
        <v/>
      </c>
    </row>
    <row r="87">
      <c r="A87" s="13" t="n">
        <v>46296</v>
      </c>
      <c r="B87" t="inlineStr">
        <is>
          <t>Ziraat</t>
        </is>
      </c>
      <c r="C87" t="inlineStr">
        <is>
          <t>Maaş yatışı</t>
        </is>
      </c>
      <c r="D87" t="inlineStr">
        <is>
          <t>Maaş</t>
        </is>
      </c>
      <c r="E87" t="inlineStr">
        <is>
          <t>Gelir</t>
        </is>
      </c>
      <c r="F87" s="10" t="n">
        <v>32000</v>
      </c>
      <c r="G87">
        <f>TEXT(A87,"YYYY-MM")</f>
        <v/>
      </c>
    </row>
    <row r="88">
      <c r="A88" s="13" t="n">
        <v>46297</v>
      </c>
      <c r="B88" t="inlineStr">
        <is>
          <t>Ziraat</t>
        </is>
      </c>
      <c r="C88" t="inlineStr">
        <is>
          <t>Ulaşım harcaması</t>
        </is>
      </c>
      <c r="D88" t="inlineStr">
        <is>
          <t>Ulaşım</t>
        </is>
      </c>
      <c r="E88" t="inlineStr">
        <is>
          <t>Gider</t>
        </is>
      </c>
      <c r="F88" s="10" t="n">
        <v>185</v>
      </c>
      <c r="G88">
        <f>TEXT(A88,"YYYY-MM")</f>
        <v/>
      </c>
    </row>
    <row r="89">
      <c r="A89" s="13" t="n">
        <v>46298</v>
      </c>
      <c r="B89" t="inlineStr">
        <is>
          <t>Ziraat</t>
        </is>
      </c>
      <c r="C89" t="inlineStr">
        <is>
          <t>Kira</t>
        </is>
      </c>
      <c r="D89" t="inlineStr">
        <is>
          <t>Kira</t>
        </is>
      </c>
      <c r="E89" t="inlineStr">
        <is>
          <t>Gider</t>
        </is>
      </c>
      <c r="F89" s="10" t="n">
        <v>12500</v>
      </c>
      <c r="G89">
        <f>TEXT(A89,"YYYY-MM")</f>
        <v/>
      </c>
    </row>
    <row r="90">
      <c r="A90" s="13" t="n">
        <v>46302</v>
      </c>
      <c r="B90" t="inlineStr">
        <is>
          <t>Ziraat</t>
        </is>
      </c>
      <c r="C90" t="inlineStr">
        <is>
          <t>Ulaşım harcaması</t>
        </is>
      </c>
      <c r="D90" t="inlineStr">
        <is>
          <t>Ulaşım</t>
        </is>
      </c>
      <c r="E90" t="inlineStr">
        <is>
          <t>Gider</t>
        </is>
      </c>
      <c r="F90" s="10" t="n">
        <v>108</v>
      </c>
      <c r="G90">
        <f>TEXT(A90,"YYYY-MM")</f>
        <v/>
      </c>
    </row>
    <row r="91">
      <c r="A91" s="13" t="n">
        <v>46305</v>
      </c>
      <c r="B91" t="inlineStr">
        <is>
          <t>Ziraat</t>
        </is>
      </c>
      <c r="C91" t="inlineStr">
        <is>
          <t>Market harcaması</t>
        </is>
      </c>
      <c r="D91" t="inlineStr">
        <is>
          <t>Market</t>
        </is>
      </c>
      <c r="E91" t="inlineStr">
        <is>
          <t>Gider</t>
        </is>
      </c>
      <c r="F91" s="10" t="n">
        <v>849</v>
      </c>
      <c r="G91">
        <f>TEXT(A91,"YYYY-MM")</f>
        <v/>
      </c>
    </row>
    <row r="92">
      <c r="A92" s="13" t="n">
        <v>46309</v>
      </c>
      <c r="B92" t="inlineStr">
        <is>
          <t>Nakit</t>
        </is>
      </c>
      <c r="C92" t="inlineStr">
        <is>
          <t>Diğer harcaması</t>
        </is>
      </c>
      <c r="D92" t="inlineStr">
        <is>
          <t>Diğer</t>
        </is>
      </c>
      <c r="E92" t="inlineStr">
        <is>
          <t>Gider</t>
        </is>
      </c>
      <c r="F92" s="10" t="n">
        <v>186</v>
      </c>
      <c r="G92">
        <f>TEXT(A92,"YYYY-MM")</f>
        <v/>
      </c>
    </row>
    <row r="93">
      <c r="A93" s="13" t="n">
        <v>46310</v>
      </c>
      <c r="B93" t="inlineStr">
        <is>
          <t>Garanti</t>
        </is>
      </c>
      <c r="C93" t="inlineStr">
        <is>
          <t>Serbest iş ödemesi</t>
        </is>
      </c>
      <c r="D93" t="inlineStr">
        <is>
          <t>Serbest iş</t>
        </is>
      </c>
      <c r="E93" t="inlineStr">
        <is>
          <t>Gelir</t>
        </is>
      </c>
      <c r="F93" s="10" t="n">
        <v>3800</v>
      </c>
      <c r="G93">
        <f>TEXT(A93,"YYYY-MM")</f>
        <v/>
      </c>
    </row>
    <row r="94">
      <c r="A94" s="13" t="n">
        <v>46310</v>
      </c>
      <c r="B94" t="inlineStr">
        <is>
          <t>Ziraat</t>
        </is>
      </c>
      <c r="C94" t="inlineStr">
        <is>
          <t>Ulaşım harcaması</t>
        </is>
      </c>
      <c r="D94" t="inlineStr">
        <is>
          <t>Ulaşım</t>
        </is>
      </c>
      <c r="E94" t="inlineStr">
        <is>
          <t>Gider</t>
        </is>
      </c>
      <c r="F94" s="10" t="n">
        <v>296</v>
      </c>
      <c r="G94">
        <f>TEXT(A94,"YYYY-MM")</f>
        <v/>
      </c>
    </row>
    <row r="95">
      <c r="A95" s="13" t="n">
        <v>46313</v>
      </c>
      <c r="B95" t="inlineStr">
        <is>
          <t>Nakit</t>
        </is>
      </c>
      <c r="C95" t="inlineStr">
        <is>
          <t>Ulaşım harcaması</t>
        </is>
      </c>
      <c r="D95" t="inlineStr">
        <is>
          <t>Ulaşım</t>
        </is>
      </c>
      <c r="E95" t="inlineStr">
        <is>
          <t>Gider</t>
        </is>
      </c>
      <c r="F95" s="10" t="n">
        <v>99</v>
      </c>
      <c r="G95">
        <f>TEXT(A95,"YYYY-MM")</f>
        <v/>
      </c>
    </row>
    <row r="96">
      <c r="A96" s="13" t="n">
        <v>46314</v>
      </c>
      <c r="B96" t="inlineStr">
        <is>
          <t>Garanti</t>
        </is>
      </c>
      <c r="C96" t="inlineStr">
        <is>
          <t>Fatura harcaması</t>
        </is>
      </c>
      <c r="D96" t="inlineStr">
        <is>
          <t>Fatura</t>
        </is>
      </c>
      <c r="E96" t="inlineStr">
        <is>
          <t>Gider</t>
        </is>
      </c>
      <c r="F96" s="10" t="n">
        <v>434</v>
      </c>
      <c r="G96">
        <f>TEXT(A96,"YYYY-MM")</f>
        <v/>
      </c>
    </row>
    <row r="97">
      <c r="A97" s="13" t="n">
        <v>46315</v>
      </c>
      <c r="B97" t="inlineStr">
        <is>
          <t>Garanti</t>
        </is>
      </c>
      <c r="C97" t="inlineStr">
        <is>
          <t>Ulaşım harcaması</t>
        </is>
      </c>
      <c r="D97" t="inlineStr">
        <is>
          <t>Ulaşım</t>
        </is>
      </c>
      <c r="E97" t="inlineStr">
        <is>
          <t>Gider</t>
        </is>
      </c>
      <c r="F97" s="10" t="n">
        <v>229</v>
      </c>
      <c r="G97">
        <f>TEXT(A97,"YYYY-MM")</f>
        <v/>
      </c>
    </row>
    <row r="98">
      <c r="A98" s="13" t="n">
        <v>46318</v>
      </c>
      <c r="B98" t="inlineStr">
        <is>
          <t>Garanti</t>
        </is>
      </c>
      <c r="C98" t="inlineStr">
        <is>
          <t>Diğer harcaması</t>
        </is>
      </c>
      <c r="D98" t="inlineStr">
        <is>
          <t>Diğer</t>
        </is>
      </c>
      <c r="E98" t="inlineStr">
        <is>
          <t>Gider</t>
        </is>
      </c>
      <c r="F98" s="10" t="n">
        <v>259</v>
      </c>
      <c r="G98">
        <f>TEXT(A98,"YYYY-MM")</f>
        <v/>
      </c>
    </row>
    <row r="99">
      <c r="A99" s="13" t="n">
        <v>46320</v>
      </c>
      <c r="B99" t="inlineStr">
        <is>
          <t>Garanti</t>
        </is>
      </c>
      <c r="C99" t="inlineStr">
        <is>
          <t>Market harcaması</t>
        </is>
      </c>
      <c r="D99" t="inlineStr">
        <is>
          <t>Market</t>
        </is>
      </c>
      <c r="E99" t="inlineStr">
        <is>
          <t>Gider</t>
        </is>
      </c>
      <c r="F99" s="10" t="n">
        <v>1188</v>
      </c>
      <c r="G99">
        <f>TEXT(A99,"YYYY-MM")</f>
        <v/>
      </c>
    </row>
    <row r="100">
      <c r="A100" s="13" t="n">
        <v>46321</v>
      </c>
      <c r="B100" t="inlineStr">
        <is>
          <t>Nakit</t>
        </is>
      </c>
      <c r="C100" t="inlineStr">
        <is>
          <t>Eğlence harcaması</t>
        </is>
      </c>
      <c r="D100" t="inlineStr">
        <is>
          <t>Eğlence</t>
        </is>
      </c>
      <c r="E100" t="inlineStr">
        <is>
          <t>Gider</t>
        </is>
      </c>
      <c r="F100" s="10" t="n">
        <v>817</v>
      </c>
      <c r="G100">
        <f>TEXT(A100,"YYYY-MM")</f>
        <v/>
      </c>
    </row>
    <row r="101">
      <c r="A101" s="13" t="n">
        <v>46321</v>
      </c>
      <c r="B101" t="inlineStr">
        <is>
          <t>Ziraat</t>
        </is>
      </c>
      <c r="C101" t="inlineStr">
        <is>
          <t>Diğer harcaması</t>
        </is>
      </c>
      <c r="D101" t="inlineStr">
        <is>
          <t>Diğer</t>
        </is>
      </c>
      <c r="E101" t="inlineStr">
        <is>
          <t>Gider</t>
        </is>
      </c>
      <c r="F101" s="10" t="n">
        <v>723</v>
      </c>
      <c r="G101">
        <f>TEXT(A101,"YYYY-MM")</f>
        <v/>
      </c>
    </row>
    <row r="102">
      <c r="A102" s="13" t="n">
        <v>46322</v>
      </c>
      <c r="B102" t="inlineStr">
        <is>
          <t>Nakit</t>
        </is>
      </c>
      <c r="C102" t="inlineStr">
        <is>
          <t>Market harcaması</t>
        </is>
      </c>
      <c r="D102" t="inlineStr">
        <is>
          <t>Market</t>
        </is>
      </c>
      <c r="E102" t="inlineStr">
        <is>
          <t>Gider</t>
        </is>
      </c>
      <c r="F102" s="10" t="n">
        <v>1060</v>
      </c>
      <c r="G102">
        <f>TEXT(A102,"YYYY-MM")</f>
        <v/>
      </c>
    </row>
    <row r="103">
      <c r="A103" s="13" t="n">
        <v>46323</v>
      </c>
      <c r="B103" t="inlineStr">
        <is>
          <t>Nakit</t>
        </is>
      </c>
      <c r="C103" t="inlineStr">
        <is>
          <t>Abonelik harcaması</t>
        </is>
      </c>
      <c r="D103" t="inlineStr">
        <is>
          <t>Abonelik</t>
        </is>
      </c>
      <c r="E103" t="inlineStr">
        <is>
          <t>Gider</t>
        </is>
      </c>
      <c r="F103" s="10" t="n">
        <v>93</v>
      </c>
      <c r="G103">
        <f>TEXT(A103,"YYYY-MM")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2026-10-23T21:35:42Z</dcterms:created>
  <dcterms:modified xsi:type="dcterms:W3CDTF">2026-10-23T21:35:42Z</dcterms:modified>
</cp:coreProperties>
</file>